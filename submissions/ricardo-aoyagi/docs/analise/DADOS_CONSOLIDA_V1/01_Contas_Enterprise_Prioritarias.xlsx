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1_As_8_Contas" sheetId="2" state="visible" r:id="rId4"/>
    <sheet name="2_Linha_do_tempo" sheetId="3" state="visible" r:id="rId5"/>
    <sheet name="3_Perfil" sheetId="4" state="visible" r:id="rId6"/>
    <sheet name="Base_Assinaturas_8" sheetId="5" state="visible" r:id="rId7"/>
    <sheet name="Base_Contas_8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<sst xmlns="http://schemas.openxmlformats.org/spreadsheetml/2006/main" count="1193" uniqueCount="226">
  <si>
    <t xml:space="preserve">AS 8 CONTAS ENTERPRISE PRIORITÁRIAS — perderam mais da metade do que pagavam numa redução</t>
  </si>
  <si>
    <t xml:space="preserve">Planilha apartada. Lê os CSVs originais sem alterá-los. Base: tabela de assinaturas (valores em MRR, US$ por mês).</t>
  </si>
  <si>
    <t xml:space="preserve">COMO AS 8 FORAM ESCOLHIDAS</t>
  </si>
  <si>
    <t xml:space="preserve">• Reduções de assinaturas Enterprise PAGAS (sem trial) em que a conta continuou com outra Enterprise: 68.</t>
  </si>
  <si>
    <t xml:space="preserve">• Para cada uma: % perdido = MRR da assinatura encerrada ÷ (ela + todas as outras assinaturas ativas da conta no dia). As 8 com mais de 50%.</t>
  </si>
  <si>
    <t xml:space="preserve">• Grupos: A = compra extra desfeita (até 30 dias, já havia Enterprise mais antiga); B = pacote antigo desligado havendo Enterprise mais nova; C = redução pura.</t>
  </si>
  <si>
    <t xml:space="preserve">O QUE MOSTRAM</t>
  </si>
  <si>
    <t xml:space="preserve">• Total perdido de uma vez pelas 8: US$ 68.854/mês.</t>
  </si>
  <si>
    <t xml:space="preserve">• Recuperaram (pagam hoje mais do que antes da redução): 3. Compra a mais desfeita (não é perda): 1. NÃO recuperaram: 4 — estas são a prioridade para conversa.</t>
  </si>
  <si>
    <t xml:space="preserve">• Três eram contratos ANUAIS encerrados antes de 12 meses (cancelamento antecipado).</t>
  </si>
  <si>
    <t xml:space="preserve">• Eventos de churn e tickets dessas contas não coincidem com o momento da redução (datas sem relação).</t>
  </si>
  <si>
    <t xml:space="preserve">• Perfil: FinTech e DevTools; Reino Unido e EUA; canais variados. Com 8 casos, nada disso é conclusivo.</t>
  </si>
  <si>
    <t xml:space="preserve">ABAS</t>
  </si>
  <si>
    <t xml:space="preserve">• 1_As_8_Contas: uma linha por conta, com indústria/canal/país, valores antes/depois/hoje (fórmulas), grupo, recuperação e o texto "O que aconteceu".</t>
  </si>
  <si>
    <t xml:space="preserve">• 2_Linha_do_tempo: todas as assinaturas de cada conta, com a reduzida em destaque.</t>
  </si>
  <si>
    <t xml:space="preserve">• 3_Perfil: indústria, canal e país das 8 contra as demais reduções.</t>
  </si>
  <si>
    <t xml:space="preserve">• Base_Assinaturas_8 e Base_Contas_8: dados usados pelas fórmulas.</t>
  </si>
  <si>
    <t xml:space="preserve">As 8 contas Enterprise que perderam mais da metade do que pagavam numa redução</t>
  </si>
  <si>
    <t xml:space="preserve">Entre as 68 reduções Enterprise pagas em que a conta seguiu com outra Enterprise, estas 8 cortaram mais de 50% do valor mensal da conta de uma vez. Valores em MRR (US$ por mês). "Antes" = assinatura encerrada + outras ativas no dia; "depois" = outras ativas no dia.</t>
  </si>
  <si>
    <t xml:space="preserve">#</t>
  </si>
  <si>
    <t xml:space="preserve">Conta</t>
  </si>
  <si>
    <t xml:space="preserve">Indústria</t>
  </si>
  <si>
    <t xml:space="preserve">País</t>
  </si>
  <si>
    <t xml:space="preserve">Canal</t>
  </si>
  <si>
    <t xml:space="preserve">Assinatura encerrada</t>
  </si>
  <si>
    <t xml:space="preserve">Seats</t>
  </si>
  <si>
    <t xml:space="preserve">Cobrança</t>
  </si>
  <si>
    <t xml:space="preserve">Início</t>
  </si>
  <si>
    <t xml:space="preserve">Fim</t>
  </si>
  <si>
    <t xml:space="preserve">Dias de vida</t>
  </si>
  <si>
    <t xml:space="preserve">MRR perdido</t>
  </si>
  <si>
    <t xml:space="preserve">MRR da conta antes</t>
  </si>
  <si>
    <t xml:space="preserve">MRR da conta depois</t>
  </si>
  <si>
    <t xml:space="preserve">% perdido</t>
  </si>
  <si>
    <t xml:space="preserve">Grupo</t>
  </si>
  <si>
    <t xml:space="preserve">Tinha gêmea (mesmos seats)?</t>
  </si>
  <si>
    <t xml:space="preserve">MRR da conta em 31/12/2024</t>
  </si>
  <si>
    <t xml:space="preserve">Recuperou?</t>
  </si>
  <si>
    <t xml:space="preserve">Eventos de churn</t>
  </si>
  <si>
    <t xml:space="preserve">Tickets</t>
  </si>
  <si>
    <t xml:space="preserve">O que aconteceu</t>
  </si>
  <si>
    <t xml:space="preserve">A-42e5e1</t>
  </si>
  <si>
    <t xml:space="preserve">Encerrou uma Enterprise de 20 seats (mensal) com 13 dias de vida, em 14/08/2024, e deixou de pagar US$ 3.980/mês — 99% do que a conta pagava (US$ 4.029). Seguiu cliente com 2 assinaturas (1 Enterprise), que somavam US$ 49/mês. 1 delas era trial (US$ 0), por isso a perda pesou tanto no total da conta. Perto do cancelamento abriu uma Enterprise TRIAL de 53 seats (US$ 0) em 02/08/2024: pode ter trocado o contrato pago por um teste. Em 31/12/2024 a conta paga US$ 4.936/mês: recuperou e hoje paga mais do que antes da redução. Eventos de churn registrados: 04/10/2024 (pricing, too expensive) — nenhum perto do cancelamento (não explicam a redução). Tickets: 3 (3 com data anterior ao cadastro da conta — datas não confiáveis).</t>
  </si>
  <si>
    <t xml:space="preserve">A-13466a</t>
  </si>
  <si>
    <t xml:space="preserve">Encerrou uma Enterprise de 40 seats (mensal) com 260 dias de vida, em 28/10/2024, e deixou de pagar US$ 7.960/mês — 89% do que a conta pagava (US$ 8.927). Seguiu cliente com 3 assinaturas (1 Enterprise), que somavam US$ 967/mês. 1 delas era trial (US$ 0), por isso a perda pesou tanto no total da conta. Em 31/12/2024 a conta paga US$ 171/mês: continuou reduzindo depois. Eventos de churn registrados: 18/11/2023 (support, switched to competitor); 18/04/2024 (pricing, switched to competitor) — nenhum perto do cancelamento (não explicam a redução). Tickets: 3 (1 com data anterior ao cadastro da conta — datas não confiáveis).</t>
  </si>
  <si>
    <t xml:space="preserve">A-425e76</t>
  </si>
  <si>
    <t xml:space="preserve">Encerrou uma Enterprise de 32 seats (mensal) com 75 dias de vida, em 01/11/2023, e deixou de pagar US$ 6.368/mês — 72% do que a conta pagava (US$ 8.884). Seguiu cliente com 3 assinaturas (1 Enterprise), que somavam US$ 2.516/mês. Em 31/12/2024 a conta paga US$ 10.743/mês: recuperou e hoje paga mais do que antes da redução. Eventos de churn registrados: 10/08/2023 (competitor, too expensive); 03/09/2023 (budget, missing features); 25/12/2023 (competitor, too expensive); 22/10/2024 (competitor, switched to competitor) — nenhum perto do cancelamento (não explicam a redução). Tickets: 5 (1 com data anterior ao cadastro da conta — datas não confiáveis).</t>
  </si>
  <si>
    <t xml:space="preserve">A-f44180</t>
  </si>
  <si>
    <t xml:space="preserve">Encerrou uma Enterprise de 89 seats (anual) com 213 dias de vida, em 19/12/2023, e deixou de pagar US$ 17.711/mês — 68% do que a conta pagava (US$ 25.870). Seguiu cliente com 4 assinaturas (4 Enterprise), que somavam US$ 8.159/mês. Era contrato ANUAL encerrado com 213 dias: cancelamento antecipado (verificar multa/reembolso). Em 31/12/2024 a conta paga US$ 9.286/mês: perda mantida. Eventos de churn registrados: 29/04/2023 (competitor, too expensive) — nenhum perto do cancelamento (não explicam a redução). Tickets: 2.</t>
  </si>
  <si>
    <t xml:space="preserve">A-8ae05d</t>
  </si>
  <si>
    <t xml:space="preserve">Encerrou uma Enterprise de 86 seats (anual) com 31 dias de vida, em 28/12/2024, e deixou de pagar US$ 17.114/mês — 65% do que a conta pagava (US$ 26.230). Seguiu cliente com 6 assinaturas (1 Enterprise, uma delas com os mesmos seats), que somavam US$ 9.116/mês. 2 delas eram trial (US$ 0), por isso a perda pesou tanto no total da conta. Perto do cancelamento abriu uma Enterprise TRIAL de 86 seats (US$ 0) em 13/12/2024: pode ter trocado o contrato pago por um teste. Era contrato ANUAL encerrado com 31 dias: cancelamento antecipado (verificar multa/reembolso). Em 31/12/2024 a conta paga US$ 9.116/mês: perda mantida. Eventos de churn registrados: 30/08/2024 (unknown, missing features) — nenhum perto do cancelamento (não explicam a redução). Tickets: 1 (1 com data anterior ao cadastro da conta — datas não confiáveis).</t>
  </si>
  <si>
    <t xml:space="preserve">A-bcf87c</t>
  </si>
  <si>
    <t xml:space="preserve">Encerrou uma Enterprise de 31 seats (mensal) com 37 dias de vida, em 28/09/2024, e deixou de pagar US$ 6.169/mês — 65% do que a conta pagava (US$ 9.482). Seguiu cliente com 3 assinaturas (1 Enterprise), que somavam US$ 3.313/mês. Em 31/12/2024 a conta paga US$ 13.611/mês: recuperou e hoje paga mais do que antes da redução. Nenhum evento de churn registrado para a conta. Tickets: 2 (2 com data anterior ao cadastro da conta — datas não confiáveis).</t>
  </si>
  <si>
    <t xml:space="preserve">A-c45b23</t>
  </si>
  <si>
    <t xml:space="preserve">Encerrou uma Enterprise de 26 seats (anual) com 3 dias de vida, em 15/12/2024, e deixou de pagar US$ 5.174/mês — 61% do que a conta pagava (US$ 8.504). Seguiu cliente com 11 assinaturas (1 Enterprise), que somavam US$ 3.330/mês. 3 delas eram trial (US$ 0), por isso a perda pesou tanto no total da conta. Era contrato ANUAL encerrado com 3 dias: cancelamento antecipado (verificar multa/reembolso). Já tinha outra Enterprise mais antiga: parece compra a mais desfeita, não perda de cliente. Em 31/12/2024 a conta paga US$ 3.330/mês: o mesmo que pagava antes da compra a mais. Eventos de churn registrados: 24/03/2024 (support, missing features) — nenhum perto do cancelamento (não explicam a redução). Tickets: 3.</t>
  </si>
  <si>
    <t xml:space="preserve">A-69fad4</t>
  </si>
  <si>
    <t xml:space="preserve">Encerrou uma Enterprise de 22 seats (mensal) com 200 dias de vida, em 19/08/2024, e deixou de pagar US$ 4.378/mês — 54% do que a conta pagava (US$ 8.056). Seguiu cliente com 5 assinaturas (2 Enterprise), que somavam US$ 3.678/mês. 1 delas era trial (US$ 0), por isso a perda pesou tanto no total da conta. Em 31/12/2024 a conta paga US$ 3.678/mês: perda mantida. Eventos de churn registrados: 17/06/2024 (support) — nenhum perto do cancelamento (não explicam a redução). Tickets: 4.</t>
  </si>
  <si>
    <t xml:space="preserve">Total</t>
  </si>
  <si>
    <t xml:space="preserve">Leitura: das 8, só parte representa perda que ficou. Algumas contas recuperaram o valor (abriram outras assinaturas depois) e uma foi compra a mais desfeita em 3 dias. As que NÃO recuperaram são as prioritárias para conversa: a coluna "Recuperou?" separa os casos. Eventos de churn e tickets não explicam as reduções (datas fora do momento do cancelamento).</t>
  </si>
  <si>
    <t xml:space="preserve">Linha do tempo das 8 contas: todas as assinaturas</t>
  </si>
  <si>
    <t xml:space="preserve">Em destaque, a assinatura Enterprise cuja redução é analisada. "Situação" segue as regras da planilha 02 (Migração, Compra extra desfeita, Redução real, Saída do cliente, Ativa).</t>
  </si>
  <si>
    <t xml:space="preserve">Assinatura</t>
  </si>
  <si>
    <t xml:space="preserve">Plano</t>
  </si>
  <si>
    <t xml:space="preserve">MRR</t>
  </si>
  <si>
    <t xml:space="preserve">Trial</t>
  </si>
  <si>
    <t xml:space="preserve">Situação</t>
  </si>
  <si>
    <t xml:space="preserve">A-42e5e1 — DevTools · US · canal ads · cadastro 09/07/2024</t>
  </si>
  <si>
    <t xml:space="preserve">S-2881e0</t>
  </si>
  <si>
    <t xml:space="preserve">Pro</t>
  </si>
  <si>
    <t xml:space="preserve">anual</t>
  </si>
  <si>
    <t xml:space="preserve">Não</t>
  </si>
  <si>
    <t xml:space="preserve">Ativa em 31/12/2024</t>
  </si>
  <si>
    <t xml:space="preserve">S-a3cbd4</t>
  </si>
  <si>
    <t xml:space="preserve">Enterprise</t>
  </si>
  <si>
    <t xml:space="preserve">mensal</t>
  </si>
  <si>
    <t xml:space="preserve">Redução real</t>
  </si>
  <si>
    <t xml:space="preserve">S-ce9977</t>
  </si>
  <si>
    <t xml:space="preserve">Sim</t>
  </si>
  <si>
    <t xml:space="preserve">S-860bc8</t>
  </si>
  <si>
    <t xml:space="preserve">Basic</t>
  </si>
  <si>
    <t xml:space="preserve">S-8426e7</t>
  </si>
  <si>
    <t xml:space="preserve">S-06e3cd</t>
  </si>
  <si>
    <t xml:space="preserve">S-9f7b07</t>
  </si>
  <si>
    <t xml:space="preserve">MRR em 31/12/2024:</t>
  </si>
  <si>
    <t xml:space="preserve">A-13466a — DevTools · AU · canal event · cadastro 22/10/2023</t>
  </si>
  <si>
    <t xml:space="preserve">S-2f8dbb</t>
  </si>
  <si>
    <t xml:space="preserve">S-af6536</t>
  </si>
  <si>
    <t xml:space="preserve">S-1c45b4</t>
  </si>
  <si>
    <t xml:space="preserve">S-063586</t>
  </si>
  <si>
    <t xml:space="preserve">Migração</t>
  </si>
  <si>
    <t xml:space="preserve">S-b89456</t>
  </si>
  <si>
    <t xml:space="preserve">S-3223a2</t>
  </si>
  <si>
    <t xml:space="preserve">A-425e76 — DevTools · UK · canal other · cadastro 17/05/2023</t>
  </si>
  <si>
    <t xml:space="preserve">S-12ca50</t>
  </si>
  <si>
    <t xml:space="preserve">S-6d356a</t>
  </si>
  <si>
    <t xml:space="preserve">S-2d3434</t>
  </si>
  <si>
    <t xml:space="preserve">S-b45bc6</t>
  </si>
  <si>
    <t xml:space="preserve">S-0d8293</t>
  </si>
  <si>
    <t xml:space="preserve">S-2196c4</t>
  </si>
  <si>
    <t xml:space="preserve">S-f7f6d7</t>
  </si>
  <si>
    <t xml:space="preserve">S-3e0382</t>
  </si>
  <si>
    <t xml:space="preserve">S-25f647</t>
  </si>
  <si>
    <t xml:space="preserve">S-77f7fd</t>
  </si>
  <si>
    <t xml:space="preserve">S-18b808</t>
  </si>
  <si>
    <t xml:space="preserve">A-f44180 — Cybersecurity · UK · canal event · cadastro 13/02/2023</t>
  </si>
  <si>
    <t xml:space="preserve">S-f5c7b2</t>
  </si>
  <si>
    <t xml:space="preserve">S-f42cc4</t>
  </si>
  <si>
    <t xml:space="preserve">S-7da02b</t>
  </si>
  <si>
    <t xml:space="preserve">S-83dc0a</t>
  </si>
  <si>
    <t xml:space="preserve">S-beff12</t>
  </si>
  <si>
    <t xml:space="preserve">S-0d6ea4</t>
  </si>
  <si>
    <t xml:space="preserve">S-e22519</t>
  </si>
  <si>
    <t xml:space="preserve">S-f72b84</t>
  </si>
  <si>
    <t xml:space="preserve">S-49d73e</t>
  </si>
  <si>
    <t xml:space="preserve">S-de705a</t>
  </si>
  <si>
    <t xml:space="preserve">S-029c20</t>
  </si>
  <si>
    <t xml:space="preserve">A-8ae05d — FinTech · IN · canal other · cadastro 06/04/2024</t>
  </si>
  <si>
    <t xml:space="preserve">S-a54fb2</t>
  </si>
  <si>
    <t xml:space="preserve">S-a1d3ad</t>
  </si>
  <si>
    <t xml:space="preserve">S-be601b</t>
  </si>
  <si>
    <t xml:space="preserve">S-55db9e</t>
  </si>
  <si>
    <t xml:space="preserve">S-f4b648</t>
  </si>
  <si>
    <t xml:space="preserve">S-f74e00</t>
  </si>
  <si>
    <t xml:space="preserve">S-b8c3e6</t>
  </si>
  <si>
    <t xml:space="preserve">A-bcf87c — FinTech · US · canal event · cadastro 27/06/2024</t>
  </si>
  <si>
    <t xml:space="preserve">S-dc90ef</t>
  </si>
  <si>
    <t xml:space="preserve">S-ef4ad8</t>
  </si>
  <si>
    <t xml:space="preserve">S-c75159</t>
  </si>
  <si>
    <t xml:space="preserve">S-b2d472</t>
  </si>
  <si>
    <t xml:space="preserve">S-ea8479</t>
  </si>
  <si>
    <t xml:space="preserve">S-1bdc35</t>
  </si>
  <si>
    <t xml:space="preserve">S-d2e82c</t>
  </si>
  <si>
    <t xml:space="preserve">S-08f8d3</t>
  </si>
  <si>
    <t xml:space="preserve">S-e260ff</t>
  </si>
  <si>
    <t xml:space="preserve">S-0e12c9</t>
  </si>
  <si>
    <t xml:space="preserve">S-c555c4</t>
  </si>
  <si>
    <t xml:space="preserve">A-c45b23 — FinTech · UK · canal partner · cadastro 08/12/2023</t>
  </si>
  <si>
    <t xml:space="preserve">S-a36281</t>
  </si>
  <si>
    <t xml:space="preserve">S-a4139f</t>
  </si>
  <si>
    <t xml:space="preserve">S-62f048</t>
  </si>
  <si>
    <t xml:space="preserve">S-0c46bb</t>
  </si>
  <si>
    <t xml:space="preserve">S-d71bdd</t>
  </si>
  <si>
    <t xml:space="preserve">S-0b2faf</t>
  </si>
  <si>
    <t xml:space="preserve">S-2aa395</t>
  </si>
  <si>
    <t xml:space="preserve">S-a9fb74</t>
  </si>
  <si>
    <t xml:space="preserve">S-08a3ca</t>
  </si>
  <si>
    <t xml:space="preserve">S-d30d10</t>
  </si>
  <si>
    <t xml:space="preserve">S-061025</t>
  </si>
  <si>
    <t xml:space="preserve">S-2361ec</t>
  </si>
  <si>
    <t xml:space="preserve">Compra extra desfeita</t>
  </si>
  <si>
    <t xml:space="preserve">A-69fad4 — FinTech · UK · canal ads · cadastro 06/04/2023</t>
  </si>
  <si>
    <t xml:space="preserve">S-23281c</t>
  </si>
  <si>
    <t xml:space="preserve">S-2d4edf</t>
  </si>
  <si>
    <t xml:space="preserve">S-3eb9c8</t>
  </si>
  <si>
    <t xml:space="preserve">S-fffeb8</t>
  </si>
  <si>
    <t xml:space="preserve">S-1d63bf</t>
  </si>
  <si>
    <t xml:space="preserve">S-b90a53</t>
  </si>
  <si>
    <t xml:space="preserve">S-e0179e</t>
  </si>
  <si>
    <t xml:space="preserve">Indústria, canal e país das 8 contas</t>
  </si>
  <si>
    <t xml:space="preserve">Comparado com as 68 reduções Enterprise pagas em que a conta seguiu com outra Enterprise e com todas as contas que tiveram Enterprise. Com 8 casos, nenhuma diferença pode ser considerada confiável.</t>
  </si>
  <si>
    <t xml:space="preserve">As 8 contas</t>
  </si>
  <si>
    <t xml:space="preserve">MRR perdido pelas 8</t>
  </si>
  <si>
    <t xml:space="preserve">% das 8</t>
  </si>
  <si>
    <t xml:space="preserve">% nas 68 reduções</t>
  </si>
  <si>
    <t xml:space="preserve">% das contas com Enterprise</t>
  </si>
  <si>
    <t xml:space="preserve">Diferente? (8 x demais reduções)</t>
  </si>
  <si>
    <t xml:space="preserve">Cybersecurity</t>
  </si>
  <si>
    <t xml:space="preserve">Não (pode ser coincidência)</t>
  </si>
  <si>
    <t xml:space="preserve">DevTools</t>
  </si>
  <si>
    <t xml:space="preserve">EdTech</t>
  </si>
  <si>
    <t xml:space="preserve">FinTech</t>
  </si>
  <si>
    <t xml:space="preserve">HealthTech</t>
  </si>
  <si>
    <t xml:space="preserve">ads</t>
  </si>
  <si>
    <t xml:space="preserve">event</t>
  </si>
  <si>
    <t xml:space="preserve">organic</t>
  </si>
  <si>
    <t xml:space="preserve">other</t>
  </si>
  <si>
    <t xml:space="preserve">partner</t>
  </si>
  <si>
    <t xml:space="preserve">AU</t>
  </si>
  <si>
    <t xml:space="preserve">Poucos casos para concluir</t>
  </si>
  <si>
    <t xml:space="preserve">CA</t>
  </si>
  <si>
    <t xml:space="preserve">DE</t>
  </si>
  <si>
    <t xml:space="preserve">FR</t>
  </si>
  <si>
    <t xml:space="preserve">IN</t>
  </si>
  <si>
    <t xml:space="preserve">UK</t>
  </si>
  <si>
    <t xml:space="preserve">US</t>
  </si>
  <si>
    <t xml:space="preserve">Leitura: as 8 se concentram em FinTech (4) e DevTools (3), e no Reino Unido (4). É um sinal para olhar, não uma conclusão: com 8 casos qualquer concentração pode ser coincidência. As colunas E e F (valores calculados pelo programa) servem de comparação.</t>
  </si>
  <si>
    <t xml:space="preserve">account_id</t>
  </si>
  <si>
    <t xml:space="preserve">subscription_id</t>
  </si>
  <si>
    <t xml:space="preserve">plan_tier</t>
  </si>
  <si>
    <t xml:space="preserve">seats</t>
  </si>
  <si>
    <t xml:space="preserve">mrr_amount</t>
  </si>
  <si>
    <t xml:space="preserve">cobranca</t>
  </si>
  <si>
    <t xml:space="preserve">trial</t>
  </si>
  <si>
    <t xml:space="preserve">start_date</t>
  </si>
  <si>
    <t xml:space="preserve">end_date</t>
  </si>
  <si>
    <t xml:space="preserve">fim_para_conta</t>
  </si>
  <si>
    <t xml:space="preserve">situacao_txt</t>
  </si>
  <si>
    <t xml:space="preserve">eh_a_reducao_analisada</t>
  </si>
  <si>
    <t xml:space="preserve">ordem</t>
  </si>
  <si>
    <t xml:space="preserve">industry</t>
  </si>
  <si>
    <t xml:space="preserve">country</t>
  </si>
  <si>
    <t xml:space="preserve">referral_source</t>
  </si>
  <si>
    <t xml:space="preserve">signup_date</t>
  </si>
  <si>
    <t xml:space="preserve">dias_de_vida</t>
  </si>
  <si>
    <t xml:space="preserve">mrr_perdido</t>
  </si>
  <si>
    <t xml:space="preserve">grupo</t>
  </si>
  <si>
    <t xml:space="preserve">gemea</t>
  </si>
  <si>
    <t xml:space="preserve">recuperou</t>
  </si>
  <si>
    <t xml:space="preserve">eventos</t>
  </si>
  <si>
    <t xml:space="preserve">motivos</t>
  </si>
  <si>
    <t xml:space="preserve">tickets</t>
  </si>
  <si>
    <t xml:space="preserve">tickets_antes_cadastro</t>
  </si>
  <si>
    <t xml:space="preserve">B. Pacote antigo desligado (havia Enterprise mais nova)</t>
  </si>
  <si>
    <t xml:space="preserve">Sim — hoje paga mais do que antes</t>
  </si>
  <si>
    <t xml:space="preserve">pricing</t>
  </si>
  <si>
    <t xml:space="preserve">Não — continuou caindo</t>
  </si>
  <si>
    <t xml:space="preserve">support, pricing</t>
  </si>
  <si>
    <t xml:space="preserve">C. Redução pura (sem Enterprise mais nova)</t>
  </si>
  <si>
    <t xml:space="preserve">competitor, budget, competitor, competitor</t>
  </si>
  <si>
    <t xml:space="preserve">Não — perda mantida</t>
  </si>
  <si>
    <t xml:space="preserve">competitor</t>
  </si>
  <si>
    <t xml:space="preserve">unknown</t>
  </si>
  <si>
    <t xml:space="preserve">—</t>
  </si>
  <si>
    <t xml:space="preserve">A. Compra extra desfeita</t>
  </si>
  <si>
    <t xml:space="preserve">Compra a mais desfeita — voltou ao valor de antes da compra</t>
  </si>
  <si>
    <t xml:space="preserve">support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</si>
</sst>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/mm/yyyy"/>
    <numFmt numFmtId="167" formatCode="&quot;US$ &quot;#,##0;&quot;-US$ &quot;#,##0;\-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E7C66"/>
      </patternFill>
    </fill>
    <fill>
      <patternFill patternType="solid">
        <fgColor rgb="FF374151"/>
        <bgColor rgb="FF52514E"/>
      </patternFill>
    </fill>
    <fill>
      <patternFill patternType="solid">
        <fgColor rgb="FFB45309"/>
        <bgColor rgb="FF993366"/>
      </patternFill>
    </fill>
    <fill>
      <patternFill patternType="solid">
        <fgColor rgb="FFB91C1C"/>
        <bgColor rgb="FF993366"/>
      </patternFill>
    </fill>
    <fill>
      <patternFill patternType="solid">
        <fgColor rgb="FF0E7C66"/>
        <bgColor rgb="FF0F766E"/>
      </patternFill>
    </fill>
    <fill>
      <patternFill patternType="solid">
        <fgColor rgb="FFEDEDED"/>
        <bgColor rgb="FFFDE2E1"/>
      </patternFill>
    </fill>
    <fill>
      <patternFill patternType="solid">
        <fgColor rgb="FFFEF3C7"/>
        <bgColor rgb="FFFDE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CFCE7"/>
        </patternFill>
      </fill>
    </dxf>
    <dxf>
      <fill>
        <patternFill>
          <bgColor rgb="FFFDE2E1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08080"/>
      <rgbColor rgb="FF9999FF"/>
      <rgbColor rgb="FFB45309"/>
      <rgbColor rgb="FFFEF3C7"/>
      <rgbColor rgb="FFDCFCE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F766E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ase_Assinaturas_8" displayName="tBase_Assinaturas_8" ref="A1:L73" headerRowCount="1" totalsRowCount="0" totalsRowShown="0">
  <autoFilter ref="A1:L73"/>
  <tableColumns count="12">
    <tableColumn id="1" name="account_id"/>
    <tableColumn id="2" name="subscription_id"/>
    <tableColumn id="3" name="plan_tier"/>
    <tableColumn id="4" name="seats"/>
    <tableColumn id="5" name="mrr_amount"/>
    <tableColumn id="6" name="cobranca"/>
    <tableColumn id="7" name="trial"/>
    <tableColumn id="8" name="start_date"/>
    <tableColumn id="9" name="end_date"/>
    <tableColumn id="10" name="fim_para_conta"/>
    <tableColumn id="11" name="situacao_txt"/>
    <tableColumn id="12" name="eh_a_reducao_analisada"/>
  </tableColumns>
</table>
</file>

<file path=xl/tables/table2.xml><?xml version="1.0" encoding="utf-8"?>
<table xmlns="http://schemas.openxmlformats.org/spreadsheetml/2006/main" id="2" name="tBase_Contas_8" displayName="tBase_Contas_8" ref="A1:T9" headerRowCount="1" totalsRowCount="0" totalsRowShown="0">
  <autoFilter ref="A1:T9"/>
  <tableColumns count="20">
    <tableColumn id="1" name="ordem"/>
    <tableColumn id="2" name="account_id"/>
    <tableColumn id="3" name="industry"/>
    <tableColumn id="4" name="country"/>
    <tableColumn id="5" name="referral_source"/>
    <tableColumn id="6" name="signup_date"/>
    <tableColumn id="7" name="subscription_id"/>
    <tableColumn id="8" name="seats"/>
    <tableColumn id="9" name="cobranca"/>
    <tableColumn id="10" name="start_date"/>
    <tableColumn id="11" name="end_date"/>
    <tableColumn id="12" name="dias_de_vida"/>
    <tableColumn id="13" name="mrr_perdido"/>
    <tableColumn id="14" name="grupo"/>
    <tableColumn id="15" name="gemea"/>
    <tableColumn id="16" name="recuperou"/>
    <tableColumn id="17" name="eventos"/>
    <tableColumn id="18" name="motivos"/>
    <tableColumn id="19" name="tickets"/>
    <tableColumn id="20" name="tickets_antes_cadast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34.3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26.85" hidden="false" customHeight="false" outlineLevel="0" collapsed="false">
      <c r="B6" s="3" t="s">
        <v>4</v>
      </c>
    </row>
    <row r="7" customFormat="false" ht="26.8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26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12</v>
      </c>
    </row>
    <row r="17" customFormat="false" ht="26.8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8"/>
    <col collapsed="false" customWidth="true" hidden="false" outlineLevel="0" max="16" min="16" style="0" width="2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8"/>
    <col collapsed="false" customWidth="true" hidden="false" outlineLevel="0" max="20" min="20" style="0" width="8"/>
    <col collapsed="false" customWidth="true" hidden="false" outlineLevel="0" max="21" min="21" style="0" width="7"/>
    <col collapsed="false" customWidth="true" hidden="false" outlineLevel="0" max="22" min="22" style="0" width="90"/>
  </cols>
  <sheetData>
    <row r="1" customFormat="false" ht="18.55" hidden="false" customHeight="false" outlineLevel="0" collapsed="false">
      <c r="A1" s="6" t="s">
        <v>17</v>
      </c>
    </row>
    <row r="2" customFormat="false" ht="43.5" hidden="false" customHeight="true" outlineLevel="0" collapsed="false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4" customFormat="false" ht="51.75" hidden="false" customHeight="true" outlineLevel="0" collapsed="false">
      <c r="A4" s="8" t="s">
        <v>19</v>
      </c>
      <c r="B4" s="8" t="s">
        <v>20</v>
      </c>
      <c r="C4" s="9" t="s">
        <v>21</v>
      </c>
      <c r="D4" s="9" t="s">
        <v>22</v>
      </c>
      <c r="E4" s="9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1" t="s">
        <v>30</v>
      </c>
      <c r="M4" s="10" t="s">
        <v>31</v>
      </c>
      <c r="N4" s="10" t="s">
        <v>32</v>
      </c>
      <c r="O4" s="12" t="s">
        <v>33</v>
      </c>
      <c r="P4" s="10" t="s">
        <v>34</v>
      </c>
      <c r="Q4" s="10" t="s">
        <v>35</v>
      </c>
      <c r="R4" s="13" t="s">
        <v>36</v>
      </c>
      <c r="S4" s="13" t="s">
        <v>37</v>
      </c>
      <c r="T4" s="10" t="s">
        <v>38</v>
      </c>
      <c r="U4" s="10" t="s">
        <v>39</v>
      </c>
      <c r="V4" s="8" t="s">
        <v>40</v>
      </c>
    </row>
    <row r="5" customFormat="false" ht="150" hidden="false" customHeight="true" outlineLevel="0" collapsed="false">
      <c r="A5" s="14" t="n">
        <v>1</v>
      </c>
      <c r="B5" s="14" t="s">
        <v>41</v>
      </c>
      <c r="C5" s="15" t="str">
        <f aca="false">INDEX(Base_Contas_8!$C$2:$C$9,MATCH($B5,Base_Contas_8!$B$2:$B$9,0))</f>
        <v>DevTools</v>
      </c>
      <c r="D5" s="15" t="str">
        <f aca="false">INDEX(Base_Contas_8!$D$2:$D$9,MATCH($B5,Base_Contas_8!$B$2:$B$9,0))</f>
        <v>US</v>
      </c>
      <c r="E5" s="15" t="str">
        <f aca="false">INDEX(Base_Contas_8!$E$2:$E$9,MATCH($B5,Base_Contas_8!$B$2:$B$9,0))</f>
        <v>ads</v>
      </c>
      <c r="F5" s="15" t="str">
        <f aca="false">INDEX(Base_Contas_8!$G$2:$G$9,MATCH($B5,Base_Contas_8!$B$2:$B$9,0))</f>
        <v>S-a3cbd4</v>
      </c>
      <c r="G5" s="16" t="n">
        <f aca="false">INDEX(Base_Contas_8!$H$2:$H$9,MATCH($B5,Base_Contas_8!$B$2:$B$9,0))</f>
        <v>20</v>
      </c>
      <c r="H5" s="15" t="str">
        <f aca="false">INDEX(Base_Contas_8!$I$2:$I$9,MATCH($B5,Base_Contas_8!$B$2:$B$9,0))</f>
        <v>mensal</v>
      </c>
      <c r="I5" s="17" t="n">
        <f aca="false">INDEX(Base_Contas_8!$J$2:$J$9,MATCH($B5,Base_Contas_8!$B$2:$B$9,0))</f>
        <v>45505</v>
      </c>
      <c r="J5" s="17" t="n">
        <f aca="false">INDEX(Base_Contas_8!$K$2:$K$9,MATCH($B5,Base_Contas_8!$B$2:$B$9,0))</f>
        <v>45518</v>
      </c>
      <c r="K5" s="16" t="n">
        <f aca="false">INDEX(Base_Contas_8!$L$2:$L$9,MATCH($B5,Base_Contas_8!$B$2:$B$9,0))</f>
        <v>13</v>
      </c>
      <c r="L5" s="18" t="n">
        <f aca="false">INDEX(Base_Contas_8!$M$2:$M$9,MATCH($B5,Base_Contas_8!$B$2:$B$9,0))</f>
        <v>3980</v>
      </c>
      <c r="M5" s="18" t="n">
        <f aca="false">L5+SUMIFS(Base_Assinaturas_8!$E$2:$E$73,Base_Assinaturas_8!$A$2:$A$73,$B5,Base_Assinaturas_8!$H$2:$H$73,"&lt;="&amp;J5,Base_Assinaturas_8!$J$2:$J$73,"&gt;"&amp;J5)</f>
        <v>4029</v>
      </c>
      <c r="N5" s="18" t="n">
        <f aca="false">SUMIFS(Base_Assinaturas_8!$E$2:$E$73,Base_Assinaturas_8!$A$2:$A$73,$B5,Base_Assinaturas_8!$H$2:$H$73,"&lt;="&amp;J5,Base_Assinaturas_8!$J$2:$J$73,"&gt;"&amp;J5)</f>
        <v>49</v>
      </c>
      <c r="O5" s="19" t="n">
        <f aca="false">L5/M5</f>
        <v>0.987838173243981</v>
      </c>
      <c r="P5" s="15" t="str">
        <f aca="false">INDEX(Base_Contas_8!$N$2:$N$9,MATCH($B5,Base_Contas_8!$B$2:$B$9,0))</f>
        <v>B. Pacote antigo desligado (havia Enterprise mais nova)</v>
      </c>
      <c r="Q5" s="15" t="str">
        <f aca="false">INDEX(Base_Contas_8!$O$2:$O$9,MATCH($B5,Base_Contas_8!$B$2:$B$9,0))</f>
        <v>Não</v>
      </c>
      <c r="R5" s="20" t="n">
        <f aca="false">SUMIFS(Base_Assinaturas_8!$E$2:$E$73,Base_Assinaturas_8!$A$2:$A$73,$B5,Base_Assinaturas_8!$J$2:$J$73,"&gt;"&amp;DATE(2024,12,31))</f>
        <v>4936</v>
      </c>
      <c r="S5" s="15" t="str">
        <f aca="false">INDEX(Base_Contas_8!$P$2:$P$9,MATCH($B5,Base_Contas_8!$B$2:$B$9,0))</f>
        <v>Sim — hoje paga mais do que antes</v>
      </c>
      <c r="T5" s="16" t="n">
        <f aca="false">INDEX(Base_Contas_8!$Q$2:$Q$9,MATCH($B5,Base_Contas_8!$B$2:$B$9,0))</f>
        <v>1</v>
      </c>
      <c r="U5" s="16" t="n">
        <f aca="false">INDEX(Base_Contas_8!$S$2:$S$9,MATCH($B5,Base_Contas_8!$B$2:$B$9,0))</f>
        <v>3</v>
      </c>
      <c r="V5" s="15" t="s">
        <v>42</v>
      </c>
    </row>
    <row r="6" customFormat="false" ht="150" hidden="false" customHeight="true" outlineLevel="0" collapsed="false">
      <c r="A6" s="14" t="n">
        <v>2</v>
      </c>
      <c r="B6" s="14" t="s">
        <v>43</v>
      </c>
      <c r="C6" s="15" t="str">
        <f aca="false">INDEX(Base_Contas_8!$C$2:$C$9,MATCH($B6,Base_Contas_8!$B$2:$B$9,0))</f>
        <v>DevTools</v>
      </c>
      <c r="D6" s="15" t="str">
        <f aca="false">INDEX(Base_Contas_8!$D$2:$D$9,MATCH($B6,Base_Contas_8!$B$2:$B$9,0))</f>
        <v>AU</v>
      </c>
      <c r="E6" s="15" t="str">
        <f aca="false">INDEX(Base_Contas_8!$E$2:$E$9,MATCH($B6,Base_Contas_8!$B$2:$B$9,0))</f>
        <v>event</v>
      </c>
      <c r="F6" s="15" t="str">
        <f aca="false">INDEX(Base_Contas_8!$G$2:$G$9,MATCH($B6,Base_Contas_8!$B$2:$B$9,0))</f>
        <v>S-af6536</v>
      </c>
      <c r="G6" s="16" t="n">
        <f aca="false">INDEX(Base_Contas_8!$H$2:$H$9,MATCH($B6,Base_Contas_8!$B$2:$B$9,0))</f>
        <v>40</v>
      </c>
      <c r="H6" s="15" t="str">
        <f aca="false">INDEX(Base_Contas_8!$I$2:$I$9,MATCH($B6,Base_Contas_8!$B$2:$B$9,0))</f>
        <v>mensal</v>
      </c>
      <c r="I6" s="17" t="n">
        <f aca="false">INDEX(Base_Contas_8!$J$2:$J$9,MATCH($B6,Base_Contas_8!$B$2:$B$9,0))</f>
        <v>45333</v>
      </c>
      <c r="J6" s="17" t="n">
        <f aca="false">INDEX(Base_Contas_8!$K$2:$K$9,MATCH($B6,Base_Contas_8!$B$2:$B$9,0))</f>
        <v>45593</v>
      </c>
      <c r="K6" s="16" t="n">
        <f aca="false">INDEX(Base_Contas_8!$L$2:$L$9,MATCH($B6,Base_Contas_8!$B$2:$B$9,0))</f>
        <v>260</v>
      </c>
      <c r="L6" s="18" t="n">
        <f aca="false">INDEX(Base_Contas_8!$M$2:$M$9,MATCH($B6,Base_Contas_8!$B$2:$B$9,0))</f>
        <v>7960</v>
      </c>
      <c r="M6" s="18" t="n">
        <f aca="false">L6+SUMIFS(Base_Assinaturas_8!$E$2:$E$73,Base_Assinaturas_8!$A$2:$A$73,$B6,Base_Assinaturas_8!$H$2:$H$73,"&lt;="&amp;J6,Base_Assinaturas_8!$J$2:$J$73,"&gt;"&amp;J6)</f>
        <v>8927</v>
      </c>
      <c r="N6" s="18" t="n">
        <f aca="false">SUMIFS(Base_Assinaturas_8!$E$2:$E$73,Base_Assinaturas_8!$A$2:$A$73,$B6,Base_Assinaturas_8!$H$2:$H$73,"&lt;="&amp;J6,Base_Assinaturas_8!$J$2:$J$73,"&gt;"&amp;J6)</f>
        <v>967</v>
      </c>
      <c r="O6" s="19" t="n">
        <f aca="false">L6/M6</f>
        <v>0.891676935140585</v>
      </c>
      <c r="P6" s="15" t="str">
        <f aca="false">INDEX(Base_Contas_8!$N$2:$N$9,MATCH($B6,Base_Contas_8!$B$2:$B$9,0))</f>
        <v>B. Pacote antigo desligado (havia Enterprise mais nova)</v>
      </c>
      <c r="Q6" s="15" t="str">
        <f aca="false">INDEX(Base_Contas_8!$O$2:$O$9,MATCH($B6,Base_Contas_8!$B$2:$B$9,0))</f>
        <v>Não</v>
      </c>
      <c r="R6" s="20" t="n">
        <f aca="false">SUMIFS(Base_Assinaturas_8!$E$2:$E$73,Base_Assinaturas_8!$A$2:$A$73,$B6,Base_Assinaturas_8!$J$2:$J$73,"&gt;"&amp;DATE(2024,12,31))</f>
        <v>171</v>
      </c>
      <c r="S6" s="15" t="str">
        <f aca="false">INDEX(Base_Contas_8!$P$2:$P$9,MATCH($B6,Base_Contas_8!$B$2:$B$9,0))</f>
        <v>Não — continuou caindo</v>
      </c>
      <c r="T6" s="16" t="n">
        <f aca="false">INDEX(Base_Contas_8!$Q$2:$Q$9,MATCH($B6,Base_Contas_8!$B$2:$B$9,0))</f>
        <v>2</v>
      </c>
      <c r="U6" s="16" t="n">
        <f aca="false">INDEX(Base_Contas_8!$S$2:$S$9,MATCH($B6,Base_Contas_8!$B$2:$B$9,0))</f>
        <v>3</v>
      </c>
      <c r="V6" s="15" t="s">
        <v>44</v>
      </c>
    </row>
    <row r="7" customFormat="false" ht="150" hidden="false" customHeight="true" outlineLevel="0" collapsed="false">
      <c r="A7" s="14" t="n">
        <v>3</v>
      </c>
      <c r="B7" s="14" t="s">
        <v>45</v>
      </c>
      <c r="C7" s="15" t="str">
        <f aca="false">INDEX(Base_Contas_8!$C$2:$C$9,MATCH($B7,Base_Contas_8!$B$2:$B$9,0))</f>
        <v>DevTools</v>
      </c>
      <c r="D7" s="15" t="str">
        <f aca="false">INDEX(Base_Contas_8!$D$2:$D$9,MATCH($B7,Base_Contas_8!$B$2:$B$9,0))</f>
        <v>UK</v>
      </c>
      <c r="E7" s="15" t="str">
        <f aca="false">INDEX(Base_Contas_8!$E$2:$E$9,MATCH($B7,Base_Contas_8!$B$2:$B$9,0))</f>
        <v>other</v>
      </c>
      <c r="F7" s="15" t="str">
        <f aca="false">INDEX(Base_Contas_8!$G$2:$G$9,MATCH($B7,Base_Contas_8!$B$2:$B$9,0))</f>
        <v>S-b45bc6</v>
      </c>
      <c r="G7" s="16" t="n">
        <f aca="false">INDEX(Base_Contas_8!$H$2:$H$9,MATCH($B7,Base_Contas_8!$B$2:$B$9,0))</f>
        <v>32</v>
      </c>
      <c r="H7" s="15" t="str">
        <f aca="false">INDEX(Base_Contas_8!$I$2:$I$9,MATCH($B7,Base_Contas_8!$B$2:$B$9,0))</f>
        <v>mensal</v>
      </c>
      <c r="I7" s="17" t="n">
        <f aca="false">INDEX(Base_Contas_8!$J$2:$J$9,MATCH($B7,Base_Contas_8!$B$2:$B$9,0))</f>
        <v>45156</v>
      </c>
      <c r="J7" s="17" t="n">
        <f aca="false">INDEX(Base_Contas_8!$K$2:$K$9,MATCH($B7,Base_Contas_8!$B$2:$B$9,0))</f>
        <v>45231</v>
      </c>
      <c r="K7" s="16" t="n">
        <f aca="false">INDEX(Base_Contas_8!$L$2:$L$9,MATCH($B7,Base_Contas_8!$B$2:$B$9,0))</f>
        <v>75</v>
      </c>
      <c r="L7" s="18" t="n">
        <f aca="false">INDEX(Base_Contas_8!$M$2:$M$9,MATCH($B7,Base_Contas_8!$B$2:$B$9,0))</f>
        <v>6368</v>
      </c>
      <c r="M7" s="18" t="n">
        <f aca="false">L7+SUMIFS(Base_Assinaturas_8!$E$2:$E$73,Base_Assinaturas_8!$A$2:$A$73,$B7,Base_Assinaturas_8!$H$2:$H$73,"&lt;="&amp;J7,Base_Assinaturas_8!$J$2:$J$73,"&gt;"&amp;J7)</f>
        <v>8884</v>
      </c>
      <c r="N7" s="18" t="n">
        <f aca="false">SUMIFS(Base_Assinaturas_8!$E$2:$E$73,Base_Assinaturas_8!$A$2:$A$73,$B7,Base_Assinaturas_8!$H$2:$H$73,"&lt;="&amp;J7,Base_Assinaturas_8!$J$2:$J$73,"&gt;"&amp;J7)</f>
        <v>2516</v>
      </c>
      <c r="O7" s="19" t="n">
        <f aca="false">L7/M7</f>
        <v>0.716794236830257</v>
      </c>
      <c r="P7" s="15" t="str">
        <f aca="false">INDEX(Base_Contas_8!$N$2:$N$9,MATCH($B7,Base_Contas_8!$B$2:$B$9,0))</f>
        <v>C. Redução pura (sem Enterprise mais nova)</v>
      </c>
      <c r="Q7" s="15" t="str">
        <f aca="false">INDEX(Base_Contas_8!$O$2:$O$9,MATCH($B7,Base_Contas_8!$B$2:$B$9,0))</f>
        <v>Não</v>
      </c>
      <c r="R7" s="20" t="n">
        <f aca="false">SUMIFS(Base_Assinaturas_8!$E$2:$E$73,Base_Assinaturas_8!$A$2:$A$73,$B7,Base_Assinaturas_8!$J$2:$J$73,"&gt;"&amp;DATE(2024,12,31))</f>
        <v>10743</v>
      </c>
      <c r="S7" s="15" t="str">
        <f aca="false">INDEX(Base_Contas_8!$P$2:$P$9,MATCH($B7,Base_Contas_8!$B$2:$B$9,0))</f>
        <v>Sim — hoje paga mais do que antes</v>
      </c>
      <c r="T7" s="16" t="n">
        <f aca="false">INDEX(Base_Contas_8!$Q$2:$Q$9,MATCH($B7,Base_Contas_8!$B$2:$B$9,0))</f>
        <v>4</v>
      </c>
      <c r="U7" s="16" t="n">
        <f aca="false">INDEX(Base_Contas_8!$S$2:$S$9,MATCH($B7,Base_Contas_8!$B$2:$B$9,0))</f>
        <v>5</v>
      </c>
      <c r="V7" s="15" t="s">
        <v>46</v>
      </c>
    </row>
    <row r="8" customFormat="false" ht="150" hidden="false" customHeight="true" outlineLevel="0" collapsed="false">
      <c r="A8" s="14" t="n">
        <v>4</v>
      </c>
      <c r="B8" s="14" t="s">
        <v>47</v>
      </c>
      <c r="C8" s="15" t="str">
        <f aca="false">INDEX(Base_Contas_8!$C$2:$C$9,MATCH($B8,Base_Contas_8!$B$2:$B$9,0))</f>
        <v>Cybersecurity</v>
      </c>
      <c r="D8" s="15" t="str">
        <f aca="false">INDEX(Base_Contas_8!$D$2:$D$9,MATCH($B8,Base_Contas_8!$B$2:$B$9,0))</f>
        <v>UK</v>
      </c>
      <c r="E8" s="15" t="str">
        <f aca="false">INDEX(Base_Contas_8!$E$2:$E$9,MATCH($B8,Base_Contas_8!$B$2:$B$9,0))</f>
        <v>event</v>
      </c>
      <c r="F8" s="15" t="str">
        <f aca="false">INDEX(Base_Contas_8!$G$2:$G$9,MATCH($B8,Base_Contas_8!$B$2:$B$9,0))</f>
        <v>S-7da02b</v>
      </c>
      <c r="G8" s="16" t="n">
        <f aca="false">INDEX(Base_Contas_8!$H$2:$H$9,MATCH($B8,Base_Contas_8!$B$2:$B$9,0))</f>
        <v>89</v>
      </c>
      <c r="H8" s="15" t="str">
        <f aca="false">INDEX(Base_Contas_8!$I$2:$I$9,MATCH($B8,Base_Contas_8!$B$2:$B$9,0))</f>
        <v>anual</v>
      </c>
      <c r="I8" s="17" t="n">
        <f aca="false">INDEX(Base_Contas_8!$J$2:$J$9,MATCH($B8,Base_Contas_8!$B$2:$B$9,0))</f>
        <v>45066</v>
      </c>
      <c r="J8" s="17" t="n">
        <f aca="false">INDEX(Base_Contas_8!$K$2:$K$9,MATCH($B8,Base_Contas_8!$B$2:$B$9,0))</f>
        <v>45279</v>
      </c>
      <c r="K8" s="16" t="n">
        <f aca="false">INDEX(Base_Contas_8!$L$2:$L$9,MATCH($B8,Base_Contas_8!$B$2:$B$9,0))</f>
        <v>213</v>
      </c>
      <c r="L8" s="18" t="n">
        <f aca="false">INDEX(Base_Contas_8!$M$2:$M$9,MATCH($B8,Base_Contas_8!$B$2:$B$9,0))</f>
        <v>17711</v>
      </c>
      <c r="M8" s="18" t="n">
        <f aca="false">L8+SUMIFS(Base_Assinaturas_8!$E$2:$E$73,Base_Assinaturas_8!$A$2:$A$73,$B8,Base_Assinaturas_8!$H$2:$H$73,"&lt;="&amp;J8,Base_Assinaturas_8!$J$2:$J$73,"&gt;"&amp;J8)</f>
        <v>25870</v>
      </c>
      <c r="N8" s="18" t="n">
        <f aca="false">SUMIFS(Base_Assinaturas_8!$E$2:$E$73,Base_Assinaturas_8!$A$2:$A$73,$B8,Base_Assinaturas_8!$H$2:$H$73,"&lt;="&amp;J8,Base_Assinaturas_8!$J$2:$J$73,"&gt;"&amp;J8)</f>
        <v>8159</v>
      </c>
      <c r="O8" s="19" t="n">
        <f aca="false">L8/M8</f>
        <v>0.684615384615385</v>
      </c>
      <c r="P8" s="15" t="str">
        <f aca="false">INDEX(Base_Contas_8!$N$2:$N$9,MATCH($B8,Base_Contas_8!$B$2:$B$9,0))</f>
        <v>B. Pacote antigo desligado (havia Enterprise mais nova)</v>
      </c>
      <c r="Q8" s="15" t="str">
        <f aca="false">INDEX(Base_Contas_8!$O$2:$O$9,MATCH($B8,Base_Contas_8!$B$2:$B$9,0))</f>
        <v>Não</v>
      </c>
      <c r="R8" s="20" t="n">
        <f aca="false">SUMIFS(Base_Assinaturas_8!$E$2:$E$73,Base_Assinaturas_8!$A$2:$A$73,$B8,Base_Assinaturas_8!$J$2:$J$73,"&gt;"&amp;DATE(2024,12,31))</f>
        <v>9286</v>
      </c>
      <c r="S8" s="15" t="str">
        <f aca="false">INDEX(Base_Contas_8!$P$2:$P$9,MATCH($B8,Base_Contas_8!$B$2:$B$9,0))</f>
        <v>Não — perda mantida</v>
      </c>
      <c r="T8" s="16" t="n">
        <f aca="false">INDEX(Base_Contas_8!$Q$2:$Q$9,MATCH($B8,Base_Contas_8!$B$2:$B$9,0))</f>
        <v>1</v>
      </c>
      <c r="U8" s="16" t="n">
        <f aca="false">INDEX(Base_Contas_8!$S$2:$S$9,MATCH($B8,Base_Contas_8!$B$2:$B$9,0))</f>
        <v>2</v>
      </c>
      <c r="V8" s="15" t="s">
        <v>48</v>
      </c>
    </row>
    <row r="9" customFormat="false" ht="150" hidden="false" customHeight="true" outlineLevel="0" collapsed="false">
      <c r="A9" s="14" t="n">
        <v>5</v>
      </c>
      <c r="B9" s="14" t="s">
        <v>49</v>
      </c>
      <c r="C9" s="15" t="str">
        <f aca="false">INDEX(Base_Contas_8!$C$2:$C$9,MATCH($B9,Base_Contas_8!$B$2:$B$9,0))</f>
        <v>FinTech</v>
      </c>
      <c r="D9" s="15" t="str">
        <f aca="false">INDEX(Base_Contas_8!$D$2:$D$9,MATCH($B9,Base_Contas_8!$B$2:$B$9,0))</f>
        <v>IN</v>
      </c>
      <c r="E9" s="15" t="str">
        <f aca="false">INDEX(Base_Contas_8!$E$2:$E$9,MATCH($B9,Base_Contas_8!$B$2:$B$9,0))</f>
        <v>other</v>
      </c>
      <c r="F9" s="15" t="str">
        <f aca="false">INDEX(Base_Contas_8!$G$2:$G$9,MATCH($B9,Base_Contas_8!$B$2:$B$9,0))</f>
        <v>S-f4b648</v>
      </c>
      <c r="G9" s="16" t="n">
        <f aca="false">INDEX(Base_Contas_8!$H$2:$H$9,MATCH($B9,Base_Contas_8!$B$2:$B$9,0))</f>
        <v>86</v>
      </c>
      <c r="H9" s="15" t="str">
        <f aca="false">INDEX(Base_Contas_8!$I$2:$I$9,MATCH($B9,Base_Contas_8!$B$2:$B$9,0))</f>
        <v>anual</v>
      </c>
      <c r="I9" s="17" t="n">
        <f aca="false">INDEX(Base_Contas_8!$J$2:$J$9,MATCH($B9,Base_Contas_8!$B$2:$B$9,0))</f>
        <v>45623</v>
      </c>
      <c r="J9" s="17" t="n">
        <f aca="false">INDEX(Base_Contas_8!$K$2:$K$9,MATCH($B9,Base_Contas_8!$B$2:$B$9,0))</f>
        <v>45654</v>
      </c>
      <c r="K9" s="16" t="n">
        <f aca="false">INDEX(Base_Contas_8!$L$2:$L$9,MATCH($B9,Base_Contas_8!$B$2:$B$9,0))</f>
        <v>31</v>
      </c>
      <c r="L9" s="18" t="n">
        <f aca="false">INDEX(Base_Contas_8!$M$2:$M$9,MATCH($B9,Base_Contas_8!$B$2:$B$9,0))</f>
        <v>17114</v>
      </c>
      <c r="M9" s="18" t="n">
        <f aca="false">L9+SUMIFS(Base_Assinaturas_8!$E$2:$E$73,Base_Assinaturas_8!$A$2:$A$73,$B9,Base_Assinaturas_8!$H$2:$H$73,"&lt;="&amp;J9,Base_Assinaturas_8!$J$2:$J$73,"&gt;"&amp;J9)</f>
        <v>26230</v>
      </c>
      <c r="N9" s="18" t="n">
        <f aca="false">SUMIFS(Base_Assinaturas_8!$E$2:$E$73,Base_Assinaturas_8!$A$2:$A$73,$B9,Base_Assinaturas_8!$H$2:$H$73,"&lt;="&amp;J9,Base_Assinaturas_8!$J$2:$J$73,"&gt;"&amp;J9)</f>
        <v>9116</v>
      </c>
      <c r="O9" s="19" t="n">
        <f aca="false">L9/M9</f>
        <v>0.652459016393443</v>
      </c>
      <c r="P9" s="15" t="str">
        <f aca="false">INDEX(Base_Contas_8!$N$2:$N$9,MATCH($B9,Base_Contas_8!$B$2:$B$9,0))</f>
        <v>B. Pacote antigo desligado (havia Enterprise mais nova)</v>
      </c>
      <c r="Q9" s="15" t="str">
        <f aca="false">INDEX(Base_Contas_8!$O$2:$O$9,MATCH($B9,Base_Contas_8!$B$2:$B$9,0))</f>
        <v>Sim</v>
      </c>
      <c r="R9" s="20" t="n">
        <f aca="false">SUMIFS(Base_Assinaturas_8!$E$2:$E$73,Base_Assinaturas_8!$A$2:$A$73,$B9,Base_Assinaturas_8!$J$2:$J$73,"&gt;"&amp;DATE(2024,12,31))</f>
        <v>9116</v>
      </c>
      <c r="S9" s="15" t="str">
        <f aca="false">INDEX(Base_Contas_8!$P$2:$P$9,MATCH($B9,Base_Contas_8!$B$2:$B$9,0))</f>
        <v>Não — perda mantida</v>
      </c>
      <c r="T9" s="16" t="n">
        <f aca="false">INDEX(Base_Contas_8!$Q$2:$Q$9,MATCH($B9,Base_Contas_8!$B$2:$B$9,0))</f>
        <v>1</v>
      </c>
      <c r="U9" s="16" t="n">
        <f aca="false">INDEX(Base_Contas_8!$S$2:$S$9,MATCH($B9,Base_Contas_8!$B$2:$B$9,0))</f>
        <v>1</v>
      </c>
      <c r="V9" s="15" t="s">
        <v>50</v>
      </c>
    </row>
    <row r="10" customFormat="false" ht="150" hidden="false" customHeight="true" outlineLevel="0" collapsed="false">
      <c r="A10" s="14" t="n">
        <v>6</v>
      </c>
      <c r="B10" s="14" t="s">
        <v>51</v>
      </c>
      <c r="C10" s="15" t="str">
        <f aca="false">INDEX(Base_Contas_8!$C$2:$C$9,MATCH($B10,Base_Contas_8!$B$2:$B$9,0))</f>
        <v>FinTech</v>
      </c>
      <c r="D10" s="15" t="str">
        <f aca="false">INDEX(Base_Contas_8!$D$2:$D$9,MATCH($B10,Base_Contas_8!$B$2:$B$9,0))</f>
        <v>US</v>
      </c>
      <c r="E10" s="15" t="str">
        <f aca="false">INDEX(Base_Contas_8!$E$2:$E$9,MATCH($B10,Base_Contas_8!$B$2:$B$9,0))</f>
        <v>event</v>
      </c>
      <c r="F10" s="15" t="str">
        <f aca="false">INDEX(Base_Contas_8!$G$2:$G$9,MATCH($B10,Base_Contas_8!$B$2:$B$9,0))</f>
        <v>S-c75159</v>
      </c>
      <c r="G10" s="16" t="n">
        <f aca="false">INDEX(Base_Contas_8!$H$2:$H$9,MATCH($B10,Base_Contas_8!$B$2:$B$9,0))</f>
        <v>31</v>
      </c>
      <c r="H10" s="15" t="str">
        <f aca="false">INDEX(Base_Contas_8!$I$2:$I$9,MATCH($B10,Base_Contas_8!$B$2:$B$9,0))</f>
        <v>mensal</v>
      </c>
      <c r="I10" s="17" t="n">
        <f aca="false">INDEX(Base_Contas_8!$J$2:$J$9,MATCH($B10,Base_Contas_8!$B$2:$B$9,0))</f>
        <v>45526</v>
      </c>
      <c r="J10" s="17" t="n">
        <f aca="false">INDEX(Base_Contas_8!$K$2:$K$9,MATCH($B10,Base_Contas_8!$B$2:$B$9,0))</f>
        <v>45563</v>
      </c>
      <c r="K10" s="16" t="n">
        <f aca="false">INDEX(Base_Contas_8!$L$2:$L$9,MATCH($B10,Base_Contas_8!$B$2:$B$9,0))</f>
        <v>37</v>
      </c>
      <c r="L10" s="18" t="n">
        <f aca="false">INDEX(Base_Contas_8!$M$2:$M$9,MATCH($B10,Base_Contas_8!$B$2:$B$9,0))</f>
        <v>6169</v>
      </c>
      <c r="M10" s="18" t="n">
        <f aca="false">L10+SUMIFS(Base_Assinaturas_8!$E$2:$E$73,Base_Assinaturas_8!$A$2:$A$73,$B10,Base_Assinaturas_8!$H$2:$H$73,"&lt;="&amp;J10,Base_Assinaturas_8!$J$2:$J$73,"&gt;"&amp;J10)</f>
        <v>9482</v>
      </c>
      <c r="N10" s="18" t="n">
        <f aca="false">SUMIFS(Base_Assinaturas_8!$E$2:$E$73,Base_Assinaturas_8!$A$2:$A$73,$B10,Base_Assinaturas_8!$H$2:$H$73,"&lt;="&amp;J10,Base_Assinaturas_8!$J$2:$J$73,"&gt;"&amp;J10)</f>
        <v>3313</v>
      </c>
      <c r="O10" s="19" t="n">
        <f aca="false">L10/M10</f>
        <v>0.650601139000211</v>
      </c>
      <c r="P10" s="15" t="str">
        <f aca="false">INDEX(Base_Contas_8!$N$2:$N$9,MATCH($B10,Base_Contas_8!$B$2:$B$9,0))</f>
        <v>B. Pacote antigo desligado (havia Enterprise mais nova)</v>
      </c>
      <c r="Q10" s="15" t="str">
        <f aca="false">INDEX(Base_Contas_8!$O$2:$O$9,MATCH($B10,Base_Contas_8!$B$2:$B$9,0))</f>
        <v>Não</v>
      </c>
      <c r="R10" s="20" t="n">
        <f aca="false">SUMIFS(Base_Assinaturas_8!$E$2:$E$73,Base_Assinaturas_8!$A$2:$A$73,$B10,Base_Assinaturas_8!$J$2:$J$73,"&gt;"&amp;DATE(2024,12,31))</f>
        <v>13611</v>
      </c>
      <c r="S10" s="15" t="str">
        <f aca="false">INDEX(Base_Contas_8!$P$2:$P$9,MATCH($B10,Base_Contas_8!$B$2:$B$9,0))</f>
        <v>Sim — hoje paga mais do que antes</v>
      </c>
      <c r="T10" s="16" t="n">
        <f aca="false">INDEX(Base_Contas_8!$Q$2:$Q$9,MATCH($B10,Base_Contas_8!$B$2:$B$9,0))</f>
        <v>0</v>
      </c>
      <c r="U10" s="16" t="n">
        <f aca="false">INDEX(Base_Contas_8!$S$2:$S$9,MATCH($B10,Base_Contas_8!$B$2:$B$9,0))</f>
        <v>2</v>
      </c>
      <c r="V10" s="15" t="s">
        <v>52</v>
      </c>
    </row>
    <row r="11" customFormat="false" ht="150" hidden="false" customHeight="true" outlineLevel="0" collapsed="false">
      <c r="A11" s="14" t="n">
        <v>7</v>
      </c>
      <c r="B11" s="14" t="s">
        <v>53</v>
      </c>
      <c r="C11" s="15" t="str">
        <f aca="false">INDEX(Base_Contas_8!$C$2:$C$9,MATCH($B11,Base_Contas_8!$B$2:$B$9,0))</f>
        <v>FinTech</v>
      </c>
      <c r="D11" s="15" t="str">
        <f aca="false">INDEX(Base_Contas_8!$D$2:$D$9,MATCH($B11,Base_Contas_8!$B$2:$B$9,0))</f>
        <v>UK</v>
      </c>
      <c r="E11" s="15" t="str">
        <f aca="false">INDEX(Base_Contas_8!$E$2:$E$9,MATCH($B11,Base_Contas_8!$B$2:$B$9,0))</f>
        <v>partner</v>
      </c>
      <c r="F11" s="15" t="str">
        <f aca="false">INDEX(Base_Contas_8!$G$2:$G$9,MATCH($B11,Base_Contas_8!$B$2:$B$9,0))</f>
        <v>S-2361ec</v>
      </c>
      <c r="G11" s="16" t="n">
        <f aca="false">INDEX(Base_Contas_8!$H$2:$H$9,MATCH($B11,Base_Contas_8!$B$2:$B$9,0))</f>
        <v>26</v>
      </c>
      <c r="H11" s="15" t="str">
        <f aca="false">INDEX(Base_Contas_8!$I$2:$I$9,MATCH($B11,Base_Contas_8!$B$2:$B$9,0))</f>
        <v>anual</v>
      </c>
      <c r="I11" s="17" t="n">
        <f aca="false">INDEX(Base_Contas_8!$J$2:$J$9,MATCH($B11,Base_Contas_8!$B$2:$B$9,0))</f>
        <v>45638</v>
      </c>
      <c r="J11" s="17" t="n">
        <f aca="false">INDEX(Base_Contas_8!$K$2:$K$9,MATCH($B11,Base_Contas_8!$B$2:$B$9,0))</f>
        <v>45641</v>
      </c>
      <c r="K11" s="16" t="n">
        <f aca="false">INDEX(Base_Contas_8!$L$2:$L$9,MATCH($B11,Base_Contas_8!$B$2:$B$9,0))</f>
        <v>3</v>
      </c>
      <c r="L11" s="18" t="n">
        <f aca="false">INDEX(Base_Contas_8!$M$2:$M$9,MATCH($B11,Base_Contas_8!$B$2:$B$9,0))</f>
        <v>5174</v>
      </c>
      <c r="M11" s="18" t="n">
        <f aca="false">L11+SUMIFS(Base_Assinaturas_8!$E$2:$E$73,Base_Assinaturas_8!$A$2:$A$73,$B11,Base_Assinaturas_8!$H$2:$H$73,"&lt;="&amp;J11,Base_Assinaturas_8!$J$2:$J$73,"&gt;"&amp;J11)</f>
        <v>8504</v>
      </c>
      <c r="N11" s="18" t="n">
        <f aca="false">SUMIFS(Base_Assinaturas_8!$E$2:$E$73,Base_Assinaturas_8!$A$2:$A$73,$B11,Base_Assinaturas_8!$H$2:$H$73,"&lt;="&amp;J11,Base_Assinaturas_8!$J$2:$J$73,"&gt;"&amp;J11)</f>
        <v>3330</v>
      </c>
      <c r="O11" s="19" t="n">
        <f aca="false">L11/M11</f>
        <v>0.608419567262465</v>
      </c>
      <c r="P11" s="15" t="str">
        <f aca="false">INDEX(Base_Contas_8!$N$2:$N$9,MATCH($B11,Base_Contas_8!$B$2:$B$9,0))</f>
        <v>A. Compra extra desfeita</v>
      </c>
      <c r="Q11" s="15" t="str">
        <f aca="false">INDEX(Base_Contas_8!$O$2:$O$9,MATCH($B11,Base_Contas_8!$B$2:$B$9,0))</f>
        <v>Não</v>
      </c>
      <c r="R11" s="20" t="n">
        <f aca="false">SUMIFS(Base_Assinaturas_8!$E$2:$E$73,Base_Assinaturas_8!$A$2:$A$73,$B11,Base_Assinaturas_8!$J$2:$J$73,"&gt;"&amp;DATE(2024,12,31))</f>
        <v>3330</v>
      </c>
      <c r="S11" s="15" t="str">
        <f aca="false">INDEX(Base_Contas_8!$P$2:$P$9,MATCH($B11,Base_Contas_8!$B$2:$B$9,0))</f>
        <v>Compra a mais desfeita — voltou ao valor de antes da compra</v>
      </c>
      <c r="T11" s="16" t="n">
        <f aca="false">INDEX(Base_Contas_8!$Q$2:$Q$9,MATCH($B11,Base_Contas_8!$B$2:$B$9,0))</f>
        <v>1</v>
      </c>
      <c r="U11" s="16" t="n">
        <f aca="false">INDEX(Base_Contas_8!$S$2:$S$9,MATCH($B11,Base_Contas_8!$B$2:$B$9,0))</f>
        <v>3</v>
      </c>
      <c r="V11" s="15" t="s">
        <v>54</v>
      </c>
    </row>
    <row r="12" customFormat="false" ht="150" hidden="false" customHeight="true" outlineLevel="0" collapsed="false">
      <c r="A12" s="14" t="n">
        <v>8</v>
      </c>
      <c r="B12" s="14" t="s">
        <v>55</v>
      </c>
      <c r="C12" s="15" t="str">
        <f aca="false">INDEX(Base_Contas_8!$C$2:$C$9,MATCH($B12,Base_Contas_8!$B$2:$B$9,0))</f>
        <v>FinTech</v>
      </c>
      <c r="D12" s="15" t="str">
        <f aca="false">INDEX(Base_Contas_8!$D$2:$D$9,MATCH($B12,Base_Contas_8!$B$2:$B$9,0))</f>
        <v>UK</v>
      </c>
      <c r="E12" s="15" t="str">
        <f aca="false">INDEX(Base_Contas_8!$E$2:$E$9,MATCH($B12,Base_Contas_8!$B$2:$B$9,0))</f>
        <v>ads</v>
      </c>
      <c r="F12" s="15" t="str">
        <f aca="false">INDEX(Base_Contas_8!$G$2:$G$9,MATCH($B12,Base_Contas_8!$B$2:$B$9,0))</f>
        <v>S-1d63bf</v>
      </c>
      <c r="G12" s="16" t="n">
        <f aca="false">INDEX(Base_Contas_8!$H$2:$H$9,MATCH($B12,Base_Contas_8!$B$2:$B$9,0))</f>
        <v>22</v>
      </c>
      <c r="H12" s="15" t="str">
        <f aca="false">INDEX(Base_Contas_8!$I$2:$I$9,MATCH($B12,Base_Contas_8!$B$2:$B$9,0))</f>
        <v>mensal</v>
      </c>
      <c r="I12" s="17" t="n">
        <f aca="false">INDEX(Base_Contas_8!$J$2:$J$9,MATCH($B12,Base_Contas_8!$B$2:$B$9,0))</f>
        <v>45323</v>
      </c>
      <c r="J12" s="17" t="n">
        <f aca="false">INDEX(Base_Contas_8!$K$2:$K$9,MATCH($B12,Base_Contas_8!$B$2:$B$9,0))</f>
        <v>45523</v>
      </c>
      <c r="K12" s="16" t="n">
        <f aca="false">INDEX(Base_Contas_8!$L$2:$L$9,MATCH($B12,Base_Contas_8!$B$2:$B$9,0))</f>
        <v>200</v>
      </c>
      <c r="L12" s="18" t="n">
        <f aca="false">INDEX(Base_Contas_8!$M$2:$M$9,MATCH($B12,Base_Contas_8!$B$2:$B$9,0))</f>
        <v>4378</v>
      </c>
      <c r="M12" s="18" t="n">
        <f aca="false">L12+SUMIFS(Base_Assinaturas_8!$E$2:$E$73,Base_Assinaturas_8!$A$2:$A$73,$B12,Base_Assinaturas_8!$H$2:$H$73,"&lt;="&amp;J12,Base_Assinaturas_8!$J$2:$J$73,"&gt;"&amp;J12)</f>
        <v>8056</v>
      </c>
      <c r="N12" s="18" t="n">
        <f aca="false">SUMIFS(Base_Assinaturas_8!$E$2:$E$73,Base_Assinaturas_8!$A$2:$A$73,$B12,Base_Assinaturas_8!$H$2:$H$73,"&lt;="&amp;J12,Base_Assinaturas_8!$J$2:$J$73,"&gt;"&amp;J12)</f>
        <v>3678</v>
      </c>
      <c r="O12" s="19" t="n">
        <f aca="false">L12/M12</f>
        <v>0.543445878848064</v>
      </c>
      <c r="P12" s="15" t="str">
        <f aca="false">INDEX(Base_Contas_8!$N$2:$N$9,MATCH($B12,Base_Contas_8!$B$2:$B$9,0))</f>
        <v>C. Redução pura (sem Enterprise mais nova)</v>
      </c>
      <c r="Q12" s="15" t="str">
        <f aca="false">INDEX(Base_Contas_8!$O$2:$O$9,MATCH($B12,Base_Contas_8!$B$2:$B$9,0))</f>
        <v>Não</v>
      </c>
      <c r="R12" s="20" t="n">
        <f aca="false">SUMIFS(Base_Assinaturas_8!$E$2:$E$73,Base_Assinaturas_8!$A$2:$A$73,$B12,Base_Assinaturas_8!$J$2:$J$73,"&gt;"&amp;DATE(2024,12,31))</f>
        <v>3678</v>
      </c>
      <c r="S12" s="15" t="str">
        <f aca="false">INDEX(Base_Contas_8!$P$2:$P$9,MATCH($B12,Base_Contas_8!$B$2:$B$9,0))</f>
        <v>Não — perda mantida</v>
      </c>
      <c r="T12" s="16" t="n">
        <f aca="false">INDEX(Base_Contas_8!$Q$2:$Q$9,MATCH($B12,Base_Contas_8!$B$2:$B$9,0))</f>
        <v>1</v>
      </c>
      <c r="U12" s="16" t="n">
        <f aca="false">INDEX(Base_Contas_8!$S$2:$S$9,MATCH($B12,Base_Contas_8!$B$2:$B$9,0))</f>
        <v>4</v>
      </c>
      <c r="V12" s="15" t="s">
        <v>56</v>
      </c>
    </row>
    <row r="13" customFormat="false" ht="15" hidden="false" customHeight="false" outlineLevel="0" collapsed="false">
      <c r="B13" s="21" t="s">
        <v>57</v>
      </c>
      <c r="L13" s="22" t="n">
        <f aca="false">SUM(L5:L12)</f>
        <v>68854</v>
      </c>
      <c r="M13" s="22" t="n">
        <f aca="false">SUM(M5:M12)</f>
        <v>99982</v>
      </c>
      <c r="N13" s="22" t="n">
        <f aca="false">SUM(N5:N12)</f>
        <v>31128</v>
      </c>
      <c r="O13" s="23" t="n">
        <f aca="false">L13/M13</f>
        <v>0.688663959512712</v>
      </c>
      <c r="R13" s="22" t="n">
        <f aca="false">SUM(R5:R12)</f>
        <v>54871</v>
      </c>
    </row>
    <row r="15" customFormat="false" ht="43.5" hidden="false" customHeight="true" outlineLevel="0" collapsed="false">
      <c r="A15" s="7" t="s">
        <v>58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</sheetData>
  <mergeCells count="2">
    <mergeCell ref="A2:V2"/>
    <mergeCell ref="A15:V15"/>
  </mergeCells>
  <conditionalFormatting sqref="S5:S13">
    <cfRule type="expression" priority="2" aboveAverage="0" equalAverage="0" bottom="0" percent="0" rank="0" text="" dxfId="0">
      <formula>LEFT(S5,3)&lt;&gt;"Não"</formula>
    </cfRule>
    <cfRule type="expression" priority="3" aboveAverage="0" equalAverage="0" bottom="0" percent="0" rank="0" text="" dxfId="1">
      <formula>LEFT(S5,3)="Não"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11"/>
    <col collapsed="false" customWidth="true" hidden="false" outlineLevel="0" max="10" min="10" style="0" width="22"/>
  </cols>
  <sheetData>
    <row r="1" customFormat="false" ht="18.55" hidden="false" customHeight="false" outlineLevel="0" collapsed="false">
      <c r="A1" s="6" t="s">
        <v>59</v>
      </c>
    </row>
    <row r="2" customFormat="false" ht="39.75" hidden="false" customHeight="true" outlineLevel="0" collapsed="false">
      <c r="A2" s="7" t="s">
        <v>60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30" hidden="false" customHeight="true" outlineLevel="0" collapsed="false">
      <c r="A4" s="8" t="s">
        <v>20</v>
      </c>
      <c r="B4" s="8" t="s">
        <v>61</v>
      </c>
      <c r="C4" s="8" t="s">
        <v>62</v>
      </c>
      <c r="D4" s="8" t="s">
        <v>25</v>
      </c>
      <c r="E4" s="8" t="s">
        <v>63</v>
      </c>
      <c r="F4" s="8" t="s">
        <v>26</v>
      </c>
      <c r="G4" s="8" t="s">
        <v>64</v>
      </c>
      <c r="H4" s="8" t="s">
        <v>27</v>
      </c>
      <c r="I4" s="8" t="s">
        <v>28</v>
      </c>
      <c r="J4" s="8" t="s">
        <v>65</v>
      </c>
    </row>
    <row r="5" customFormat="false" ht="15" hidden="false" customHeight="false" outlineLevel="0" collapsed="false">
      <c r="A5" s="24" t="s">
        <v>66</v>
      </c>
    </row>
    <row r="6" customFormat="false" ht="15" hidden="false" customHeight="false" outlineLevel="0" collapsed="false">
      <c r="A6" s="15" t="s">
        <v>41</v>
      </c>
      <c r="B6" s="15" t="s">
        <v>67</v>
      </c>
      <c r="C6" s="15" t="s">
        <v>68</v>
      </c>
      <c r="D6" s="16" t="n">
        <v>1</v>
      </c>
      <c r="E6" s="18" t="n">
        <v>49</v>
      </c>
      <c r="F6" s="15" t="s">
        <v>69</v>
      </c>
      <c r="G6" s="15" t="s">
        <v>70</v>
      </c>
      <c r="H6" s="17" t="n">
        <v>45494</v>
      </c>
      <c r="I6" s="17"/>
      <c r="J6" s="15" t="s">
        <v>71</v>
      </c>
    </row>
    <row r="7" customFormat="false" ht="15" hidden="false" customHeight="false" outlineLevel="0" collapsed="false">
      <c r="A7" s="25" t="s">
        <v>41</v>
      </c>
      <c r="B7" s="25" t="s">
        <v>72</v>
      </c>
      <c r="C7" s="25" t="s">
        <v>73</v>
      </c>
      <c r="D7" s="26" t="n">
        <v>20</v>
      </c>
      <c r="E7" s="27" t="n">
        <v>3980</v>
      </c>
      <c r="F7" s="25" t="s">
        <v>74</v>
      </c>
      <c r="G7" s="25" t="s">
        <v>70</v>
      </c>
      <c r="H7" s="28" t="n">
        <v>45505</v>
      </c>
      <c r="I7" s="28" t="n">
        <v>45518</v>
      </c>
      <c r="J7" s="25" t="s">
        <v>75</v>
      </c>
    </row>
    <row r="8" customFormat="false" ht="15" hidden="false" customHeight="false" outlineLevel="0" collapsed="false">
      <c r="A8" s="15" t="s">
        <v>41</v>
      </c>
      <c r="B8" s="15" t="s">
        <v>76</v>
      </c>
      <c r="C8" s="15" t="s">
        <v>73</v>
      </c>
      <c r="D8" s="16" t="n">
        <v>53</v>
      </c>
      <c r="E8" s="18" t="n">
        <v>0</v>
      </c>
      <c r="F8" s="15" t="s">
        <v>74</v>
      </c>
      <c r="G8" s="15" t="s">
        <v>77</v>
      </c>
      <c r="H8" s="17" t="n">
        <v>45506</v>
      </c>
      <c r="I8" s="17"/>
      <c r="J8" s="15" t="s">
        <v>71</v>
      </c>
    </row>
    <row r="9" customFormat="false" ht="15" hidden="false" customHeight="false" outlineLevel="0" collapsed="false">
      <c r="A9" s="15" t="s">
        <v>41</v>
      </c>
      <c r="B9" s="15" t="s">
        <v>78</v>
      </c>
      <c r="C9" s="15" t="s">
        <v>79</v>
      </c>
      <c r="D9" s="16" t="n">
        <v>1</v>
      </c>
      <c r="E9" s="18" t="n">
        <v>19</v>
      </c>
      <c r="F9" s="15" t="s">
        <v>69</v>
      </c>
      <c r="G9" s="15" t="s">
        <v>70</v>
      </c>
      <c r="H9" s="17" t="n">
        <v>45533</v>
      </c>
      <c r="I9" s="17"/>
      <c r="J9" s="15" t="s">
        <v>71</v>
      </c>
    </row>
    <row r="10" customFormat="false" ht="15" hidden="false" customHeight="false" outlineLevel="0" collapsed="false">
      <c r="A10" s="15" t="s">
        <v>41</v>
      </c>
      <c r="B10" s="15" t="s">
        <v>80</v>
      </c>
      <c r="C10" s="15" t="s">
        <v>73</v>
      </c>
      <c r="D10" s="16" t="n">
        <v>22</v>
      </c>
      <c r="E10" s="18" t="n">
        <v>4378</v>
      </c>
      <c r="F10" s="15" t="s">
        <v>69</v>
      </c>
      <c r="G10" s="15" t="s">
        <v>70</v>
      </c>
      <c r="H10" s="17" t="n">
        <v>45583</v>
      </c>
      <c r="I10" s="17"/>
      <c r="J10" s="15" t="s">
        <v>71</v>
      </c>
    </row>
    <row r="11" customFormat="false" ht="15" hidden="false" customHeight="false" outlineLevel="0" collapsed="false">
      <c r="A11" s="15" t="s">
        <v>41</v>
      </c>
      <c r="B11" s="15" t="s">
        <v>81</v>
      </c>
      <c r="C11" s="15" t="s">
        <v>79</v>
      </c>
      <c r="D11" s="16" t="n">
        <v>22</v>
      </c>
      <c r="E11" s="18" t="n">
        <v>0</v>
      </c>
      <c r="F11" s="15" t="s">
        <v>74</v>
      </c>
      <c r="G11" s="15" t="s">
        <v>77</v>
      </c>
      <c r="H11" s="17" t="n">
        <v>45587</v>
      </c>
      <c r="I11" s="17"/>
      <c r="J11" s="15" t="s">
        <v>71</v>
      </c>
    </row>
    <row r="12" customFormat="false" ht="15" hidden="false" customHeight="false" outlineLevel="0" collapsed="false">
      <c r="A12" s="15" t="s">
        <v>41</v>
      </c>
      <c r="B12" s="15" t="s">
        <v>82</v>
      </c>
      <c r="C12" s="15" t="s">
        <v>68</v>
      </c>
      <c r="D12" s="16" t="n">
        <v>10</v>
      </c>
      <c r="E12" s="18" t="n">
        <v>490</v>
      </c>
      <c r="F12" s="15" t="s">
        <v>69</v>
      </c>
      <c r="G12" s="15" t="s">
        <v>70</v>
      </c>
      <c r="H12" s="17" t="n">
        <v>45624</v>
      </c>
      <c r="I12" s="17"/>
      <c r="J12" s="15" t="s">
        <v>71</v>
      </c>
    </row>
    <row r="13" customFormat="false" ht="43.25" hidden="false" customHeight="false" outlineLevel="0" collapsed="false">
      <c r="D13" s="14" t="s">
        <v>83</v>
      </c>
      <c r="E13" s="22" t="n">
        <f aca="false">SUMIFS(Base_Assinaturas_8!$E$2:$E$73,Base_Assinaturas_8!$A$2:$A$73,"A-42e5e1",Base_Assinaturas_8!$J$2:$J$73,"&gt;"&amp;DATE(2024,12,31))</f>
        <v>4936</v>
      </c>
    </row>
    <row r="15" customFormat="false" ht="15" hidden="false" customHeight="false" outlineLevel="0" collapsed="false">
      <c r="A15" s="24" t="s">
        <v>84</v>
      </c>
    </row>
    <row r="16" customFormat="false" ht="15" hidden="false" customHeight="false" outlineLevel="0" collapsed="false">
      <c r="A16" s="15" t="s">
        <v>43</v>
      </c>
      <c r="B16" s="15" t="s">
        <v>85</v>
      </c>
      <c r="C16" s="15" t="s">
        <v>79</v>
      </c>
      <c r="D16" s="16" t="n">
        <v>2</v>
      </c>
      <c r="E16" s="18" t="n">
        <v>38</v>
      </c>
      <c r="F16" s="15" t="s">
        <v>69</v>
      </c>
      <c r="G16" s="15" t="s">
        <v>70</v>
      </c>
      <c r="H16" s="17" t="n">
        <v>45248</v>
      </c>
      <c r="I16" s="17" t="n">
        <v>45466</v>
      </c>
      <c r="J16" s="15" t="s">
        <v>75</v>
      </c>
    </row>
    <row r="17" customFormat="false" ht="15" hidden="false" customHeight="false" outlineLevel="0" collapsed="false">
      <c r="A17" s="25" t="s">
        <v>43</v>
      </c>
      <c r="B17" s="25" t="s">
        <v>86</v>
      </c>
      <c r="C17" s="25" t="s">
        <v>73</v>
      </c>
      <c r="D17" s="26" t="n">
        <v>40</v>
      </c>
      <c r="E17" s="27" t="n">
        <v>7960</v>
      </c>
      <c r="F17" s="25" t="s">
        <v>74</v>
      </c>
      <c r="G17" s="25" t="s">
        <v>70</v>
      </c>
      <c r="H17" s="28" t="n">
        <v>45333</v>
      </c>
      <c r="I17" s="28" t="n">
        <v>45593</v>
      </c>
      <c r="J17" s="25" t="s">
        <v>75</v>
      </c>
    </row>
    <row r="18" customFormat="false" ht="15" hidden="false" customHeight="false" outlineLevel="0" collapsed="false">
      <c r="A18" s="15" t="s">
        <v>43</v>
      </c>
      <c r="B18" s="15" t="s">
        <v>87</v>
      </c>
      <c r="C18" s="15" t="s">
        <v>79</v>
      </c>
      <c r="D18" s="16" t="n">
        <v>65</v>
      </c>
      <c r="E18" s="18" t="n">
        <v>0</v>
      </c>
      <c r="F18" s="15" t="s">
        <v>74</v>
      </c>
      <c r="G18" s="15" t="s">
        <v>77</v>
      </c>
      <c r="H18" s="17" t="n">
        <v>45402</v>
      </c>
      <c r="I18" s="17"/>
      <c r="J18" s="15" t="s">
        <v>71</v>
      </c>
    </row>
    <row r="19" customFormat="false" ht="15" hidden="false" customHeight="false" outlineLevel="0" collapsed="false">
      <c r="A19" s="15" t="s">
        <v>43</v>
      </c>
      <c r="B19" s="15" t="s">
        <v>88</v>
      </c>
      <c r="C19" s="15" t="s">
        <v>73</v>
      </c>
      <c r="D19" s="16" t="n">
        <v>22</v>
      </c>
      <c r="E19" s="18" t="n">
        <v>4378</v>
      </c>
      <c r="F19" s="15" t="s">
        <v>69</v>
      </c>
      <c r="G19" s="15" t="s">
        <v>70</v>
      </c>
      <c r="H19" s="17" t="n">
        <v>45435</v>
      </c>
      <c r="I19" s="17" t="n">
        <v>45562</v>
      </c>
      <c r="J19" s="15" t="s">
        <v>89</v>
      </c>
    </row>
    <row r="20" customFormat="false" ht="15" hidden="false" customHeight="false" outlineLevel="0" collapsed="false">
      <c r="A20" s="15" t="s">
        <v>43</v>
      </c>
      <c r="B20" s="15" t="s">
        <v>90</v>
      </c>
      <c r="C20" s="15" t="s">
        <v>73</v>
      </c>
      <c r="D20" s="16" t="n">
        <v>4</v>
      </c>
      <c r="E20" s="18" t="n">
        <v>796</v>
      </c>
      <c r="F20" s="15" t="s">
        <v>74</v>
      </c>
      <c r="G20" s="15" t="s">
        <v>70</v>
      </c>
      <c r="H20" s="17" t="n">
        <v>45536</v>
      </c>
      <c r="I20" s="17" t="n">
        <v>45657</v>
      </c>
      <c r="J20" s="15" t="s">
        <v>75</v>
      </c>
    </row>
    <row r="21" customFormat="false" ht="15" hidden="false" customHeight="false" outlineLevel="0" collapsed="false">
      <c r="A21" s="15" t="s">
        <v>43</v>
      </c>
      <c r="B21" s="15" t="s">
        <v>91</v>
      </c>
      <c r="C21" s="15" t="s">
        <v>79</v>
      </c>
      <c r="D21" s="16" t="n">
        <v>9</v>
      </c>
      <c r="E21" s="18" t="n">
        <v>171</v>
      </c>
      <c r="F21" s="15" t="s">
        <v>69</v>
      </c>
      <c r="G21" s="15" t="s">
        <v>70</v>
      </c>
      <c r="H21" s="17" t="n">
        <v>45555</v>
      </c>
      <c r="I21" s="17"/>
      <c r="J21" s="15" t="s">
        <v>71</v>
      </c>
    </row>
    <row r="22" customFormat="false" ht="43.25" hidden="false" customHeight="false" outlineLevel="0" collapsed="false">
      <c r="D22" s="14" t="s">
        <v>83</v>
      </c>
      <c r="E22" s="22" t="n">
        <f aca="false">SUMIFS(Base_Assinaturas_8!$E$2:$E$73,Base_Assinaturas_8!$A$2:$A$73,"A-13466a",Base_Assinaturas_8!$J$2:$J$73,"&gt;"&amp;DATE(2024,12,31))</f>
        <v>171</v>
      </c>
    </row>
    <row r="24" customFormat="false" ht="15" hidden="false" customHeight="false" outlineLevel="0" collapsed="false">
      <c r="A24" s="24" t="s">
        <v>92</v>
      </c>
    </row>
    <row r="25" customFormat="false" ht="15" hidden="false" customHeight="false" outlineLevel="0" collapsed="false">
      <c r="A25" s="15" t="s">
        <v>45</v>
      </c>
      <c r="B25" s="15" t="s">
        <v>93</v>
      </c>
      <c r="C25" s="15" t="s">
        <v>73</v>
      </c>
      <c r="D25" s="16" t="n">
        <v>8</v>
      </c>
      <c r="E25" s="18" t="n">
        <v>1592</v>
      </c>
      <c r="F25" s="15" t="s">
        <v>74</v>
      </c>
      <c r="G25" s="15" t="s">
        <v>70</v>
      </c>
      <c r="H25" s="17" t="n">
        <v>45098</v>
      </c>
      <c r="I25" s="17"/>
      <c r="J25" s="15" t="s">
        <v>71</v>
      </c>
    </row>
    <row r="26" customFormat="false" ht="15" hidden="false" customHeight="false" outlineLevel="0" collapsed="false">
      <c r="A26" s="15" t="s">
        <v>45</v>
      </c>
      <c r="B26" s="15" t="s">
        <v>94</v>
      </c>
      <c r="C26" s="15" t="s">
        <v>79</v>
      </c>
      <c r="D26" s="16" t="n">
        <v>28</v>
      </c>
      <c r="E26" s="18" t="n">
        <v>532</v>
      </c>
      <c r="F26" s="15" t="s">
        <v>69</v>
      </c>
      <c r="G26" s="15" t="s">
        <v>70</v>
      </c>
      <c r="H26" s="17" t="n">
        <v>45103</v>
      </c>
      <c r="I26" s="17"/>
      <c r="J26" s="15" t="s">
        <v>71</v>
      </c>
    </row>
    <row r="27" customFormat="false" ht="15" hidden="false" customHeight="false" outlineLevel="0" collapsed="false">
      <c r="A27" s="15" t="s">
        <v>45</v>
      </c>
      <c r="B27" s="15" t="s">
        <v>95</v>
      </c>
      <c r="C27" s="15" t="s">
        <v>68</v>
      </c>
      <c r="D27" s="16" t="n">
        <v>8</v>
      </c>
      <c r="E27" s="18" t="n">
        <v>392</v>
      </c>
      <c r="F27" s="15" t="s">
        <v>69</v>
      </c>
      <c r="G27" s="15" t="s">
        <v>70</v>
      </c>
      <c r="H27" s="17" t="n">
        <v>45129</v>
      </c>
      <c r="I27" s="17"/>
      <c r="J27" s="15" t="s">
        <v>71</v>
      </c>
    </row>
    <row r="28" customFormat="false" ht="15" hidden="false" customHeight="false" outlineLevel="0" collapsed="false">
      <c r="A28" s="25" t="s">
        <v>45</v>
      </c>
      <c r="B28" s="25" t="s">
        <v>96</v>
      </c>
      <c r="C28" s="25" t="s">
        <v>73</v>
      </c>
      <c r="D28" s="26" t="n">
        <v>32</v>
      </c>
      <c r="E28" s="27" t="n">
        <v>6368</v>
      </c>
      <c r="F28" s="25" t="s">
        <v>74</v>
      </c>
      <c r="G28" s="25" t="s">
        <v>70</v>
      </c>
      <c r="H28" s="28" t="n">
        <v>45156</v>
      </c>
      <c r="I28" s="28" t="n">
        <v>45231</v>
      </c>
      <c r="J28" s="25" t="s">
        <v>75</v>
      </c>
    </row>
    <row r="29" customFormat="false" ht="15" hidden="false" customHeight="false" outlineLevel="0" collapsed="false">
      <c r="A29" s="15" t="s">
        <v>45</v>
      </c>
      <c r="B29" s="15" t="s">
        <v>97</v>
      </c>
      <c r="C29" s="15" t="s">
        <v>68</v>
      </c>
      <c r="D29" s="16" t="n">
        <v>71</v>
      </c>
      <c r="E29" s="18" t="n">
        <v>3479</v>
      </c>
      <c r="F29" s="15" t="s">
        <v>74</v>
      </c>
      <c r="G29" s="15" t="s">
        <v>70</v>
      </c>
      <c r="H29" s="17" t="n">
        <v>45248</v>
      </c>
      <c r="I29" s="17"/>
      <c r="J29" s="15" t="s">
        <v>71</v>
      </c>
    </row>
    <row r="30" customFormat="false" ht="15" hidden="false" customHeight="false" outlineLevel="0" collapsed="false">
      <c r="A30" s="15" t="s">
        <v>45</v>
      </c>
      <c r="B30" s="15" t="s">
        <v>98</v>
      </c>
      <c r="C30" s="15" t="s">
        <v>79</v>
      </c>
      <c r="D30" s="16" t="n">
        <v>8</v>
      </c>
      <c r="E30" s="18" t="n">
        <v>152</v>
      </c>
      <c r="F30" s="15" t="s">
        <v>74</v>
      </c>
      <c r="G30" s="15" t="s">
        <v>70</v>
      </c>
      <c r="H30" s="17" t="n">
        <v>45398</v>
      </c>
      <c r="I30" s="17"/>
      <c r="J30" s="15" t="s">
        <v>71</v>
      </c>
    </row>
    <row r="31" customFormat="false" ht="15" hidden="false" customHeight="false" outlineLevel="0" collapsed="false">
      <c r="A31" s="15" t="s">
        <v>45</v>
      </c>
      <c r="B31" s="15" t="s">
        <v>99</v>
      </c>
      <c r="C31" s="15" t="s">
        <v>79</v>
      </c>
      <c r="D31" s="16" t="n">
        <v>14</v>
      </c>
      <c r="E31" s="18" t="n">
        <v>266</v>
      </c>
      <c r="F31" s="15" t="s">
        <v>74</v>
      </c>
      <c r="G31" s="15" t="s">
        <v>70</v>
      </c>
      <c r="H31" s="17" t="n">
        <v>45419</v>
      </c>
      <c r="I31" s="17"/>
      <c r="J31" s="15" t="s">
        <v>71</v>
      </c>
    </row>
    <row r="32" customFormat="false" ht="15" hidden="false" customHeight="false" outlineLevel="0" collapsed="false">
      <c r="A32" s="15" t="s">
        <v>45</v>
      </c>
      <c r="B32" s="15" t="s">
        <v>100</v>
      </c>
      <c r="C32" s="15" t="s">
        <v>79</v>
      </c>
      <c r="D32" s="16" t="n">
        <v>27</v>
      </c>
      <c r="E32" s="18" t="n">
        <v>513</v>
      </c>
      <c r="F32" s="15" t="s">
        <v>74</v>
      </c>
      <c r="G32" s="15" t="s">
        <v>70</v>
      </c>
      <c r="H32" s="17" t="n">
        <v>45436</v>
      </c>
      <c r="I32" s="17"/>
      <c r="J32" s="15" t="s">
        <v>71</v>
      </c>
    </row>
    <row r="33" customFormat="false" ht="15" hidden="false" customHeight="false" outlineLevel="0" collapsed="false">
      <c r="A33" s="15" t="s">
        <v>45</v>
      </c>
      <c r="B33" s="15" t="s">
        <v>101</v>
      </c>
      <c r="C33" s="15" t="s">
        <v>79</v>
      </c>
      <c r="D33" s="16" t="n">
        <v>37</v>
      </c>
      <c r="E33" s="18" t="n">
        <v>703</v>
      </c>
      <c r="F33" s="15" t="s">
        <v>74</v>
      </c>
      <c r="G33" s="15" t="s">
        <v>70</v>
      </c>
      <c r="H33" s="17" t="n">
        <v>45483</v>
      </c>
      <c r="I33" s="17"/>
      <c r="J33" s="15" t="s">
        <v>71</v>
      </c>
    </row>
    <row r="34" customFormat="false" ht="15" hidden="false" customHeight="false" outlineLevel="0" collapsed="false">
      <c r="A34" s="15" t="s">
        <v>45</v>
      </c>
      <c r="B34" s="15" t="s">
        <v>102</v>
      </c>
      <c r="C34" s="15" t="s">
        <v>68</v>
      </c>
      <c r="D34" s="16" t="n">
        <v>27</v>
      </c>
      <c r="E34" s="18" t="n">
        <v>1323</v>
      </c>
      <c r="F34" s="15" t="s">
        <v>74</v>
      </c>
      <c r="G34" s="15" t="s">
        <v>70</v>
      </c>
      <c r="H34" s="17" t="n">
        <v>45510</v>
      </c>
      <c r="I34" s="17"/>
      <c r="J34" s="15" t="s">
        <v>71</v>
      </c>
    </row>
    <row r="35" customFormat="false" ht="15" hidden="false" customHeight="false" outlineLevel="0" collapsed="false">
      <c r="A35" s="15" t="s">
        <v>45</v>
      </c>
      <c r="B35" s="15" t="s">
        <v>103</v>
      </c>
      <c r="C35" s="15" t="s">
        <v>73</v>
      </c>
      <c r="D35" s="16" t="n">
        <v>9</v>
      </c>
      <c r="E35" s="18" t="n">
        <v>1791</v>
      </c>
      <c r="F35" s="15" t="s">
        <v>69</v>
      </c>
      <c r="G35" s="15" t="s">
        <v>70</v>
      </c>
      <c r="H35" s="17" t="n">
        <v>45517</v>
      </c>
      <c r="I35" s="17"/>
      <c r="J35" s="15" t="s">
        <v>71</v>
      </c>
    </row>
    <row r="36" customFormat="false" ht="43.25" hidden="false" customHeight="false" outlineLevel="0" collapsed="false">
      <c r="D36" s="14" t="s">
        <v>83</v>
      </c>
      <c r="E36" s="22" t="n">
        <f aca="false">SUMIFS(Base_Assinaturas_8!$E$2:$E$73,Base_Assinaturas_8!$A$2:$A$73,"A-425e76",Base_Assinaturas_8!$J$2:$J$73,"&gt;"&amp;DATE(2024,12,31))</f>
        <v>10743</v>
      </c>
    </row>
    <row r="38" customFormat="false" ht="15" hidden="false" customHeight="false" outlineLevel="0" collapsed="false">
      <c r="A38" s="24" t="s">
        <v>104</v>
      </c>
    </row>
    <row r="39" customFormat="false" ht="15" hidden="false" customHeight="false" outlineLevel="0" collapsed="false">
      <c r="A39" s="15" t="s">
        <v>47</v>
      </c>
      <c r="B39" s="15" t="s">
        <v>105</v>
      </c>
      <c r="C39" s="15" t="s">
        <v>73</v>
      </c>
      <c r="D39" s="16" t="n">
        <v>9</v>
      </c>
      <c r="E39" s="18" t="n">
        <v>1791</v>
      </c>
      <c r="F39" s="15" t="s">
        <v>69</v>
      </c>
      <c r="G39" s="15" t="s">
        <v>70</v>
      </c>
      <c r="H39" s="17" t="n">
        <v>45010</v>
      </c>
      <c r="I39" s="17"/>
      <c r="J39" s="15" t="s">
        <v>71</v>
      </c>
    </row>
    <row r="40" customFormat="false" ht="15" hidden="false" customHeight="false" outlineLevel="0" collapsed="false">
      <c r="A40" s="15" t="s">
        <v>47</v>
      </c>
      <c r="B40" s="15" t="s">
        <v>106</v>
      </c>
      <c r="C40" s="15" t="s">
        <v>73</v>
      </c>
      <c r="D40" s="16" t="n">
        <v>14</v>
      </c>
      <c r="E40" s="18" t="n">
        <v>2786</v>
      </c>
      <c r="F40" s="15" t="s">
        <v>69</v>
      </c>
      <c r="G40" s="15" t="s">
        <v>70</v>
      </c>
      <c r="H40" s="17" t="n">
        <v>45026</v>
      </c>
      <c r="I40" s="17"/>
      <c r="J40" s="15" t="s">
        <v>71</v>
      </c>
    </row>
    <row r="41" customFormat="false" ht="15" hidden="false" customHeight="false" outlineLevel="0" collapsed="false">
      <c r="A41" s="25" t="s">
        <v>47</v>
      </c>
      <c r="B41" s="25" t="s">
        <v>107</v>
      </c>
      <c r="C41" s="25" t="s">
        <v>73</v>
      </c>
      <c r="D41" s="26" t="n">
        <v>89</v>
      </c>
      <c r="E41" s="27" t="n">
        <v>17711</v>
      </c>
      <c r="F41" s="25" t="s">
        <v>69</v>
      </c>
      <c r="G41" s="25" t="s">
        <v>70</v>
      </c>
      <c r="H41" s="28" t="n">
        <v>45066</v>
      </c>
      <c r="I41" s="28" t="n">
        <v>45279</v>
      </c>
      <c r="J41" s="25" t="s">
        <v>75</v>
      </c>
    </row>
    <row r="42" customFormat="false" ht="15" hidden="false" customHeight="false" outlineLevel="0" collapsed="false">
      <c r="A42" s="15" t="s">
        <v>47</v>
      </c>
      <c r="B42" s="15" t="s">
        <v>108</v>
      </c>
      <c r="C42" s="15" t="s">
        <v>73</v>
      </c>
      <c r="D42" s="16" t="n">
        <v>9</v>
      </c>
      <c r="E42" s="18" t="n">
        <v>1791</v>
      </c>
      <c r="F42" s="15" t="s">
        <v>69</v>
      </c>
      <c r="G42" s="15" t="s">
        <v>70</v>
      </c>
      <c r="H42" s="17" t="n">
        <v>45169</v>
      </c>
      <c r="I42" s="17"/>
      <c r="J42" s="15" t="s">
        <v>71</v>
      </c>
    </row>
    <row r="43" customFormat="false" ht="15" hidden="false" customHeight="false" outlineLevel="0" collapsed="false">
      <c r="A43" s="15" t="s">
        <v>47</v>
      </c>
      <c r="B43" s="15" t="s">
        <v>109</v>
      </c>
      <c r="C43" s="15" t="s">
        <v>73</v>
      </c>
      <c r="D43" s="16" t="n">
        <v>9</v>
      </c>
      <c r="E43" s="18" t="n">
        <v>1791</v>
      </c>
      <c r="F43" s="15" t="s">
        <v>74</v>
      </c>
      <c r="G43" s="15" t="s">
        <v>70</v>
      </c>
      <c r="H43" s="17" t="n">
        <v>45216</v>
      </c>
      <c r="I43" s="17"/>
      <c r="J43" s="15" t="s">
        <v>71</v>
      </c>
    </row>
    <row r="44" customFormat="false" ht="15" hidden="false" customHeight="false" outlineLevel="0" collapsed="false">
      <c r="A44" s="15" t="s">
        <v>47</v>
      </c>
      <c r="B44" s="15" t="s">
        <v>110</v>
      </c>
      <c r="C44" s="15" t="s">
        <v>73</v>
      </c>
      <c r="D44" s="16" t="n">
        <v>9</v>
      </c>
      <c r="E44" s="18" t="n">
        <v>1791</v>
      </c>
      <c r="F44" s="15" t="s">
        <v>74</v>
      </c>
      <c r="G44" s="15" t="s">
        <v>70</v>
      </c>
      <c r="H44" s="17" t="n">
        <v>45287</v>
      </c>
      <c r="I44" s="17" t="n">
        <v>45595</v>
      </c>
      <c r="J44" s="15" t="s">
        <v>75</v>
      </c>
    </row>
    <row r="45" customFormat="false" ht="15" hidden="false" customHeight="false" outlineLevel="0" collapsed="false">
      <c r="A45" s="15" t="s">
        <v>47</v>
      </c>
      <c r="B45" s="15" t="s">
        <v>111</v>
      </c>
      <c r="C45" s="15" t="s">
        <v>68</v>
      </c>
      <c r="D45" s="16" t="n">
        <v>14</v>
      </c>
      <c r="E45" s="18" t="n">
        <v>686</v>
      </c>
      <c r="F45" s="15" t="s">
        <v>74</v>
      </c>
      <c r="G45" s="15" t="s">
        <v>70</v>
      </c>
      <c r="H45" s="17" t="n">
        <v>45460</v>
      </c>
      <c r="I45" s="17"/>
      <c r="J45" s="15" t="s">
        <v>71</v>
      </c>
    </row>
    <row r="46" customFormat="false" ht="15" hidden="false" customHeight="false" outlineLevel="0" collapsed="false">
      <c r="A46" s="15" t="s">
        <v>47</v>
      </c>
      <c r="B46" s="15" t="s">
        <v>112</v>
      </c>
      <c r="C46" s="15" t="s">
        <v>68</v>
      </c>
      <c r="D46" s="16" t="n">
        <v>9</v>
      </c>
      <c r="E46" s="18" t="n">
        <v>441</v>
      </c>
      <c r="F46" s="15" t="s">
        <v>74</v>
      </c>
      <c r="G46" s="15" t="s">
        <v>70</v>
      </c>
      <c r="H46" s="17" t="n">
        <v>45465</v>
      </c>
      <c r="I46" s="17"/>
      <c r="J46" s="15" t="s">
        <v>71</v>
      </c>
    </row>
    <row r="47" customFormat="false" ht="15" hidden="false" customHeight="false" outlineLevel="0" collapsed="false">
      <c r="A47" s="15" t="s">
        <v>47</v>
      </c>
      <c r="B47" s="15" t="s">
        <v>113</v>
      </c>
      <c r="C47" s="15" t="s">
        <v>73</v>
      </c>
      <c r="D47" s="16" t="n">
        <v>35</v>
      </c>
      <c r="E47" s="18" t="n">
        <v>0</v>
      </c>
      <c r="F47" s="15" t="s">
        <v>69</v>
      </c>
      <c r="G47" s="15" t="s">
        <v>77</v>
      </c>
      <c r="H47" s="17" t="n">
        <v>45473</v>
      </c>
      <c r="I47" s="17"/>
      <c r="J47" s="15" t="s">
        <v>71</v>
      </c>
    </row>
    <row r="48" customFormat="false" ht="15" hidden="false" customHeight="false" outlineLevel="0" collapsed="false">
      <c r="A48" s="15" t="s">
        <v>47</v>
      </c>
      <c r="B48" s="15" t="s">
        <v>114</v>
      </c>
      <c r="C48" s="15" t="s">
        <v>79</v>
      </c>
      <c r="D48" s="16" t="n">
        <v>17</v>
      </c>
      <c r="E48" s="18" t="n">
        <v>0</v>
      </c>
      <c r="F48" s="15" t="s">
        <v>69</v>
      </c>
      <c r="G48" s="15" t="s">
        <v>77</v>
      </c>
      <c r="H48" s="17" t="n">
        <v>45636</v>
      </c>
      <c r="I48" s="17"/>
      <c r="J48" s="15" t="s">
        <v>71</v>
      </c>
    </row>
    <row r="49" customFormat="false" ht="15" hidden="false" customHeight="false" outlineLevel="0" collapsed="false">
      <c r="A49" s="15" t="s">
        <v>47</v>
      </c>
      <c r="B49" s="15" t="s">
        <v>115</v>
      </c>
      <c r="C49" s="15" t="s">
        <v>79</v>
      </c>
      <c r="D49" s="16" t="n">
        <v>10</v>
      </c>
      <c r="E49" s="18" t="n">
        <v>0</v>
      </c>
      <c r="F49" s="15" t="s">
        <v>69</v>
      </c>
      <c r="G49" s="15" t="s">
        <v>77</v>
      </c>
      <c r="H49" s="17" t="n">
        <v>45639</v>
      </c>
      <c r="I49" s="17"/>
      <c r="J49" s="15" t="s">
        <v>71</v>
      </c>
    </row>
    <row r="50" customFormat="false" ht="43.25" hidden="false" customHeight="false" outlineLevel="0" collapsed="false">
      <c r="D50" s="14" t="s">
        <v>83</v>
      </c>
      <c r="E50" s="22" t="n">
        <f aca="false">SUMIFS(Base_Assinaturas_8!$E$2:$E$73,Base_Assinaturas_8!$A$2:$A$73,"A-f44180",Base_Assinaturas_8!$J$2:$J$73,"&gt;"&amp;DATE(2024,12,31))</f>
        <v>9286</v>
      </c>
    </row>
    <row r="52" customFormat="false" ht="15" hidden="false" customHeight="false" outlineLevel="0" collapsed="false">
      <c r="A52" s="24" t="s">
        <v>116</v>
      </c>
    </row>
    <row r="53" customFormat="false" ht="15" hidden="false" customHeight="false" outlineLevel="0" collapsed="false">
      <c r="A53" s="15" t="s">
        <v>49</v>
      </c>
      <c r="B53" s="15" t="s">
        <v>117</v>
      </c>
      <c r="C53" s="15" t="s">
        <v>79</v>
      </c>
      <c r="D53" s="16" t="n">
        <v>86</v>
      </c>
      <c r="E53" s="18" t="n">
        <v>1634</v>
      </c>
      <c r="F53" s="15" t="s">
        <v>69</v>
      </c>
      <c r="G53" s="15" t="s">
        <v>70</v>
      </c>
      <c r="H53" s="17" t="n">
        <v>45444</v>
      </c>
      <c r="I53" s="17"/>
      <c r="J53" s="15" t="s">
        <v>71</v>
      </c>
    </row>
    <row r="54" customFormat="false" ht="15" hidden="false" customHeight="false" outlineLevel="0" collapsed="false">
      <c r="A54" s="15" t="s">
        <v>49</v>
      </c>
      <c r="B54" s="15" t="s">
        <v>118</v>
      </c>
      <c r="C54" s="15" t="s">
        <v>79</v>
      </c>
      <c r="D54" s="16" t="n">
        <v>86</v>
      </c>
      <c r="E54" s="18" t="n">
        <v>0</v>
      </c>
      <c r="F54" s="15" t="s">
        <v>74</v>
      </c>
      <c r="G54" s="15" t="s">
        <v>77</v>
      </c>
      <c r="H54" s="17" t="n">
        <v>45452</v>
      </c>
      <c r="I54" s="17"/>
      <c r="J54" s="15" t="s">
        <v>71</v>
      </c>
    </row>
    <row r="55" customFormat="false" ht="15" hidden="false" customHeight="false" outlineLevel="0" collapsed="false">
      <c r="A55" s="15" t="s">
        <v>49</v>
      </c>
      <c r="B55" s="15" t="s">
        <v>119</v>
      </c>
      <c r="C55" s="15" t="s">
        <v>79</v>
      </c>
      <c r="D55" s="16" t="n">
        <v>86</v>
      </c>
      <c r="E55" s="18" t="n">
        <v>1634</v>
      </c>
      <c r="F55" s="15" t="s">
        <v>74</v>
      </c>
      <c r="G55" s="15" t="s">
        <v>70</v>
      </c>
      <c r="H55" s="17" t="n">
        <v>45480</v>
      </c>
      <c r="I55" s="17"/>
      <c r="J55" s="15" t="s">
        <v>71</v>
      </c>
    </row>
    <row r="56" customFormat="false" ht="15" hidden="false" customHeight="false" outlineLevel="0" collapsed="false">
      <c r="A56" s="15" t="s">
        <v>49</v>
      </c>
      <c r="B56" s="15" t="s">
        <v>120</v>
      </c>
      <c r="C56" s="15" t="s">
        <v>79</v>
      </c>
      <c r="D56" s="16" t="n">
        <v>86</v>
      </c>
      <c r="E56" s="18" t="n">
        <v>1634</v>
      </c>
      <c r="F56" s="15" t="s">
        <v>69</v>
      </c>
      <c r="G56" s="15" t="s">
        <v>70</v>
      </c>
      <c r="H56" s="17" t="n">
        <v>45523</v>
      </c>
      <c r="I56" s="17"/>
      <c r="J56" s="15" t="s">
        <v>71</v>
      </c>
    </row>
    <row r="57" customFormat="false" ht="15" hidden="false" customHeight="false" outlineLevel="0" collapsed="false">
      <c r="A57" s="25" t="s">
        <v>49</v>
      </c>
      <c r="B57" s="25" t="s">
        <v>121</v>
      </c>
      <c r="C57" s="25" t="s">
        <v>73</v>
      </c>
      <c r="D57" s="26" t="n">
        <v>86</v>
      </c>
      <c r="E57" s="27" t="n">
        <v>17114</v>
      </c>
      <c r="F57" s="25" t="s">
        <v>69</v>
      </c>
      <c r="G57" s="25" t="s">
        <v>70</v>
      </c>
      <c r="H57" s="28" t="n">
        <v>45623</v>
      </c>
      <c r="I57" s="28" t="n">
        <v>45654</v>
      </c>
      <c r="J57" s="25" t="s">
        <v>75</v>
      </c>
    </row>
    <row r="58" customFormat="false" ht="15" hidden="false" customHeight="false" outlineLevel="0" collapsed="false">
      <c r="A58" s="15" t="s">
        <v>49</v>
      </c>
      <c r="B58" s="15" t="s">
        <v>122</v>
      </c>
      <c r="C58" s="15" t="s">
        <v>68</v>
      </c>
      <c r="D58" s="16" t="n">
        <v>86</v>
      </c>
      <c r="E58" s="18" t="n">
        <v>4214</v>
      </c>
      <c r="F58" s="15" t="s">
        <v>74</v>
      </c>
      <c r="G58" s="15" t="s">
        <v>70</v>
      </c>
      <c r="H58" s="17" t="n">
        <v>45628</v>
      </c>
      <c r="I58" s="17"/>
      <c r="J58" s="15" t="s">
        <v>71</v>
      </c>
    </row>
    <row r="59" customFormat="false" ht="15" hidden="false" customHeight="false" outlineLevel="0" collapsed="false">
      <c r="A59" s="15" t="s">
        <v>49</v>
      </c>
      <c r="B59" s="15" t="s">
        <v>123</v>
      </c>
      <c r="C59" s="15" t="s">
        <v>73</v>
      </c>
      <c r="D59" s="16" t="n">
        <v>86</v>
      </c>
      <c r="E59" s="18" t="n">
        <v>0</v>
      </c>
      <c r="F59" s="15" t="s">
        <v>74</v>
      </c>
      <c r="G59" s="15" t="s">
        <v>77</v>
      </c>
      <c r="H59" s="17" t="n">
        <v>45639</v>
      </c>
      <c r="I59" s="17"/>
      <c r="J59" s="15" t="s">
        <v>71</v>
      </c>
    </row>
    <row r="60" customFormat="false" ht="43.25" hidden="false" customHeight="false" outlineLevel="0" collapsed="false">
      <c r="D60" s="14" t="s">
        <v>83</v>
      </c>
      <c r="E60" s="22" t="n">
        <f aca="false">SUMIFS(Base_Assinaturas_8!$E$2:$E$73,Base_Assinaturas_8!$A$2:$A$73,"A-8ae05d",Base_Assinaturas_8!$J$2:$J$73,"&gt;"&amp;DATE(2024,12,31))</f>
        <v>9116</v>
      </c>
    </row>
    <row r="62" customFormat="false" ht="15" hidden="false" customHeight="false" outlineLevel="0" collapsed="false">
      <c r="A62" s="24" t="s">
        <v>124</v>
      </c>
    </row>
    <row r="63" customFormat="false" ht="15" hidden="false" customHeight="false" outlineLevel="0" collapsed="false">
      <c r="A63" s="15" t="s">
        <v>51</v>
      </c>
      <c r="B63" s="15" t="s">
        <v>125</v>
      </c>
      <c r="C63" s="15" t="s">
        <v>68</v>
      </c>
      <c r="D63" s="16" t="n">
        <v>17</v>
      </c>
      <c r="E63" s="18" t="n">
        <v>833</v>
      </c>
      <c r="F63" s="15" t="s">
        <v>69</v>
      </c>
      <c r="G63" s="15" t="s">
        <v>70</v>
      </c>
      <c r="H63" s="17" t="n">
        <v>45495</v>
      </c>
      <c r="I63" s="17"/>
      <c r="J63" s="15" t="s">
        <v>71</v>
      </c>
    </row>
    <row r="64" customFormat="false" ht="15" hidden="false" customHeight="false" outlineLevel="0" collapsed="false">
      <c r="A64" s="15" t="s">
        <v>51</v>
      </c>
      <c r="B64" s="15" t="s">
        <v>126</v>
      </c>
      <c r="C64" s="15" t="s">
        <v>68</v>
      </c>
      <c r="D64" s="16" t="n">
        <v>10</v>
      </c>
      <c r="E64" s="18" t="n">
        <v>490</v>
      </c>
      <c r="F64" s="15" t="s">
        <v>69</v>
      </c>
      <c r="G64" s="15" t="s">
        <v>70</v>
      </c>
      <c r="H64" s="17" t="n">
        <v>45518</v>
      </c>
      <c r="I64" s="17"/>
      <c r="J64" s="15" t="s">
        <v>71</v>
      </c>
    </row>
    <row r="65" customFormat="false" ht="15" hidden="false" customHeight="false" outlineLevel="0" collapsed="false">
      <c r="A65" s="25" t="s">
        <v>51</v>
      </c>
      <c r="B65" s="25" t="s">
        <v>127</v>
      </c>
      <c r="C65" s="25" t="s">
        <v>73</v>
      </c>
      <c r="D65" s="26" t="n">
        <v>31</v>
      </c>
      <c r="E65" s="27" t="n">
        <v>6169</v>
      </c>
      <c r="F65" s="25" t="s">
        <v>74</v>
      </c>
      <c r="G65" s="25" t="s">
        <v>70</v>
      </c>
      <c r="H65" s="28" t="n">
        <v>45526</v>
      </c>
      <c r="I65" s="28" t="n">
        <v>45563</v>
      </c>
      <c r="J65" s="25" t="s">
        <v>75</v>
      </c>
    </row>
    <row r="66" customFormat="false" ht="15" hidden="false" customHeight="false" outlineLevel="0" collapsed="false">
      <c r="A66" s="15" t="s">
        <v>51</v>
      </c>
      <c r="B66" s="15" t="s">
        <v>128</v>
      </c>
      <c r="C66" s="15" t="s">
        <v>73</v>
      </c>
      <c r="D66" s="16" t="n">
        <v>10</v>
      </c>
      <c r="E66" s="18" t="n">
        <v>1990</v>
      </c>
      <c r="F66" s="15" t="s">
        <v>69</v>
      </c>
      <c r="G66" s="15" t="s">
        <v>70</v>
      </c>
      <c r="H66" s="17" t="n">
        <v>45531</v>
      </c>
      <c r="I66" s="17" t="n">
        <v>45637</v>
      </c>
      <c r="J66" s="15" t="s">
        <v>89</v>
      </c>
    </row>
    <row r="67" customFormat="false" ht="15" hidden="false" customHeight="false" outlineLevel="0" collapsed="false">
      <c r="A67" s="15" t="s">
        <v>51</v>
      </c>
      <c r="B67" s="15" t="s">
        <v>129</v>
      </c>
      <c r="C67" s="15" t="s">
        <v>79</v>
      </c>
      <c r="D67" s="16" t="n">
        <v>17</v>
      </c>
      <c r="E67" s="18" t="n">
        <v>323</v>
      </c>
      <c r="F67" s="15" t="s">
        <v>69</v>
      </c>
      <c r="G67" s="15" t="s">
        <v>70</v>
      </c>
      <c r="H67" s="17" t="n">
        <v>45590</v>
      </c>
      <c r="I67" s="17"/>
      <c r="J67" s="15" t="s">
        <v>71</v>
      </c>
    </row>
    <row r="68" customFormat="false" ht="15" hidden="false" customHeight="false" outlineLevel="0" collapsed="false">
      <c r="A68" s="15" t="s">
        <v>51</v>
      </c>
      <c r="B68" s="15" t="s">
        <v>130</v>
      </c>
      <c r="C68" s="15" t="s">
        <v>79</v>
      </c>
      <c r="D68" s="16" t="n">
        <v>10</v>
      </c>
      <c r="E68" s="18" t="n">
        <v>190</v>
      </c>
      <c r="F68" s="15" t="s">
        <v>74</v>
      </c>
      <c r="G68" s="15" t="s">
        <v>70</v>
      </c>
      <c r="H68" s="17" t="n">
        <v>45593</v>
      </c>
      <c r="I68" s="17"/>
      <c r="J68" s="15" t="s">
        <v>71</v>
      </c>
    </row>
    <row r="69" customFormat="false" ht="15" hidden="false" customHeight="false" outlineLevel="0" collapsed="false">
      <c r="A69" s="15" t="s">
        <v>51</v>
      </c>
      <c r="B69" s="15" t="s">
        <v>131</v>
      </c>
      <c r="C69" s="15" t="s">
        <v>73</v>
      </c>
      <c r="D69" s="16" t="n">
        <v>16</v>
      </c>
      <c r="E69" s="18" t="n">
        <v>3184</v>
      </c>
      <c r="F69" s="15" t="s">
        <v>74</v>
      </c>
      <c r="G69" s="15" t="s">
        <v>70</v>
      </c>
      <c r="H69" s="17" t="n">
        <v>45605</v>
      </c>
      <c r="I69" s="17"/>
      <c r="J69" s="15" t="s">
        <v>71</v>
      </c>
    </row>
    <row r="70" customFormat="false" ht="15" hidden="false" customHeight="false" outlineLevel="0" collapsed="false">
      <c r="A70" s="15" t="s">
        <v>51</v>
      </c>
      <c r="B70" s="15" t="s">
        <v>132</v>
      </c>
      <c r="C70" s="15" t="s">
        <v>68</v>
      </c>
      <c r="D70" s="16" t="n">
        <v>21</v>
      </c>
      <c r="E70" s="18" t="n">
        <v>1029</v>
      </c>
      <c r="F70" s="15" t="s">
        <v>74</v>
      </c>
      <c r="G70" s="15" t="s">
        <v>70</v>
      </c>
      <c r="H70" s="17" t="n">
        <v>45623</v>
      </c>
      <c r="I70" s="17"/>
      <c r="J70" s="15" t="s">
        <v>71</v>
      </c>
    </row>
    <row r="71" customFormat="false" ht="15" hidden="false" customHeight="false" outlineLevel="0" collapsed="false">
      <c r="A71" s="15" t="s">
        <v>51</v>
      </c>
      <c r="B71" s="15" t="s">
        <v>133</v>
      </c>
      <c r="C71" s="15" t="s">
        <v>73</v>
      </c>
      <c r="D71" s="16" t="n">
        <v>21</v>
      </c>
      <c r="E71" s="18" t="n">
        <v>4179</v>
      </c>
      <c r="F71" s="15" t="s">
        <v>69</v>
      </c>
      <c r="G71" s="15" t="s">
        <v>70</v>
      </c>
      <c r="H71" s="17" t="n">
        <v>45635</v>
      </c>
      <c r="I71" s="17"/>
      <c r="J71" s="15" t="s">
        <v>71</v>
      </c>
    </row>
    <row r="72" customFormat="false" ht="15" hidden="false" customHeight="false" outlineLevel="0" collapsed="false">
      <c r="A72" s="15" t="s">
        <v>51</v>
      </c>
      <c r="B72" s="15" t="s">
        <v>134</v>
      </c>
      <c r="C72" s="15" t="s">
        <v>79</v>
      </c>
      <c r="D72" s="16" t="n">
        <v>51</v>
      </c>
      <c r="E72" s="18" t="n">
        <v>0</v>
      </c>
      <c r="F72" s="15" t="s">
        <v>74</v>
      </c>
      <c r="G72" s="15" t="s">
        <v>77</v>
      </c>
      <c r="H72" s="17" t="n">
        <v>45636</v>
      </c>
      <c r="I72" s="17"/>
      <c r="J72" s="15" t="s">
        <v>71</v>
      </c>
    </row>
    <row r="73" customFormat="false" ht="15" hidden="false" customHeight="false" outlineLevel="0" collapsed="false">
      <c r="A73" s="15" t="s">
        <v>51</v>
      </c>
      <c r="B73" s="15" t="s">
        <v>135</v>
      </c>
      <c r="C73" s="15" t="s">
        <v>73</v>
      </c>
      <c r="D73" s="16" t="n">
        <v>17</v>
      </c>
      <c r="E73" s="18" t="n">
        <v>3383</v>
      </c>
      <c r="F73" s="15" t="s">
        <v>74</v>
      </c>
      <c r="G73" s="15" t="s">
        <v>70</v>
      </c>
      <c r="H73" s="17" t="n">
        <v>45639</v>
      </c>
      <c r="I73" s="17"/>
      <c r="J73" s="15" t="s">
        <v>71</v>
      </c>
    </row>
    <row r="74" customFormat="false" ht="43.25" hidden="false" customHeight="false" outlineLevel="0" collapsed="false">
      <c r="D74" s="14" t="s">
        <v>83</v>
      </c>
      <c r="E74" s="22" t="n">
        <f aca="false">SUMIFS(Base_Assinaturas_8!$E$2:$E$73,Base_Assinaturas_8!$A$2:$A$73,"A-bcf87c",Base_Assinaturas_8!$J$2:$J$73,"&gt;"&amp;DATE(2024,12,31))</f>
        <v>13611</v>
      </c>
    </row>
    <row r="76" customFormat="false" ht="15" hidden="false" customHeight="false" outlineLevel="0" collapsed="false">
      <c r="A76" s="24" t="s">
        <v>136</v>
      </c>
    </row>
    <row r="77" customFormat="false" ht="15" hidden="false" customHeight="false" outlineLevel="0" collapsed="false">
      <c r="A77" s="15" t="s">
        <v>53</v>
      </c>
      <c r="B77" s="15" t="s">
        <v>137</v>
      </c>
      <c r="C77" s="15" t="s">
        <v>79</v>
      </c>
      <c r="D77" s="16" t="n">
        <v>8</v>
      </c>
      <c r="E77" s="18" t="n">
        <v>152</v>
      </c>
      <c r="F77" s="15" t="s">
        <v>74</v>
      </c>
      <c r="G77" s="15" t="s">
        <v>70</v>
      </c>
      <c r="H77" s="17" t="n">
        <v>45289</v>
      </c>
      <c r="I77" s="17"/>
      <c r="J77" s="15" t="s">
        <v>71</v>
      </c>
    </row>
    <row r="78" customFormat="false" ht="15" hidden="false" customHeight="false" outlineLevel="0" collapsed="false">
      <c r="A78" s="15" t="s">
        <v>53</v>
      </c>
      <c r="B78" s="15" t="s">
        <v>138</v>
      </c>
      <c r="C78" s="15" t="s">
        <v>68</v>
      </c>
      <c r="D78" s="16" t="n">
        <v>5</v>
      </c>
      <c r="E78" s="18" t="n">
        <v>245</v>
      </c>
      <c r="F78" s="15" t="s">
        <v>74</v>
      </c>
      <c r="G78" s="15" t="s">
        <v>70</v>
      </c>
      <c r="H78" s="17" t="n">
        <v>45323</v>
      </c>
      <c r="I78" s="17"/>
      <c r="J78" s="15" t="s">
        <v>71</v>
      </c>
    </row>
    <row r="79" customFormat="false" ht="15" hidden="false" customHeight="false" outlineLevel="0" collapsed="false">
      <c r="A79" s="15" t="s">
        <v>53</v>
      </c>
      <c r="B79" s="15" t="s">
        <v>139</v>
      </c>
      <c r="C79" s="15" t="s">
        <v>68</v>
      </c>
      <c r="D79" s="16" t="n">
        <v>7</v>
      </c>
      <c r="E79" s="18" t="n">
        <v>343</v>
      </c>
      <c r="F79" s="15" t="s">
        <v>74</v>
      </c>
      <c r="G79" s="15" t="s">
        <v>70</v>
      </c>
      <c r="H79" s="17" t="n">
        <v>45335</v>
      </c>
      <c r="I79" s="17"/>
      <c r="J79" s="15" t="s">
        <v>71</v>
      </c>
    </row>
    <row r="80" customFormat="false" ht="15" hidden="false" customHeight="false" outlineLevel="0" collapsed="false">
      <c r="A80" s="15" t="s">
        <v>53</v>
      </c>
      <c r="B80" s="15" t="s">
        <v>140</v>
      </c>
      <c r="C80" s="15" t="s">
        <v>79</v>
      </c>
      <c r="D80" s="16" t="n">
        <v>12</v>
      </c>
      <c r="E80" s="18" t="n">
        <v>228</v>
      </c>
      <c r="F80" s="15" t="s">
        <v>69</v>
      </c>
      <c r="G80" s="15" t="s">
        <v>70</v>
      </c>
      <c r="H80" s="17" t="n">
        <v>45391</v>
      </c>
      <c r="I80" s="17"/>
      <c r="J80" s="15" t="s">
        <v>71</v>
      </c>
    </row>
    <row r="81" customFormat="false" ht="15" hidden="false" customHeight="false" outlineLevel="0" collapsed="false">
      <c r="A81" s="15" t="s">
        <v>53</v>
      </c>
      <c r="B81" s="15" t="s">
        <v>141</v>
      </c>
      <c r="C81" s="15" t="s">
        <v>73</v>
      </c>
      <c r="D81" s="16" t="n">
        <v>9</v>
      </c>
      <c r="E81" s="18" t="n">
        <v>1791</v>
      </c>
      <c r="F81" s="15" t="s">
        <v>69</v>
      </c>
      <c r="G81" s="15" t="s">
        <v>70</v>
      </c>
      <c r="H81" s="17" t="n">
        <v>45438</v>
      </c>
      <c r="I81" s="17"/>
      <c r="J81" s="15" t="s">
        <v>71</v>
      </c>
    </row>
    <row r="82" customFormat="false" ht="15" hidden="false" customHeight="false" outlineLevel="0" collapsed="false">
      <c r="A82" s="15" t="s">
        <v>53</v>
      </c>
      <c r="B82" s="15" t="s">
        <v>142</v>
      </c>
      <c r="C82" s="15" t="s">
        <v>79</v>
      </c>
      <c r="D82" s="16" t="n">
        <v>15</v>
      </c>
      <c r="E82" s="18" t="n">
        <v>0</v>
      </c>
      <c r="F82" s="15" t="s">
        <v>74</v>
      </c>
      <c r="G82" s="15" t="s">
        <v>77</v>
      </c>
      <c r="H82" s="17" t="n">
        <v>45478</v>
      </c>
      <c r="I82" s="17"/>
      <c r="J82" s="15" t="s">
        <v>71</v>
      </c>
    </row>
    <row r="83" customFormat="false" ht="15" hidden="false" customHeight="false" outlineLevel="0" collapsed="false">
      <c r="A83" s="15" t="s">
        <v>53</v>
      </c>
      <c r="B83" s="15" t="s">
        <v>143</v>
      </c>
      <c r="C83" s="15" t="s">
        <v>79</v>
      </c>
      <c r="D83" s="16" t="n">
        <v>5</v>
      </c>
      <c r="E83" s="18" t="n">
        <v>95</v>
      </c>
      <c r="F83" s="15" t="s">
        <v>74</v>
      </c>
      <c r="G83" s="15" t="s">
        <v>70</v>
      </c>
      <c r="H83" s="17" t="n">
        <v>45504</v>
      </c>
      <c r="I83" s="17"/>
      <c r="J83" s="15" t="s">
        <v>71</v>
      </c>
    </row>
    <row r="84" customFormat="false" ht="15" hidden="false" customHeight="false" outlineLevel="0" collapsed="false">
      <c r="A84" s="15" t="s">
        <v>53</v>
      </c>
      <c r="B84" s="15" t="s">
        <v>144</v>
      </c>
      <c r="C84" s="15" t="s">
        <v>68</v>
      </c>
      <c r="D84" s="16" t="n">
        <v>5</v>
      </c>
      <c r="E84" s="18" t="n">
        <v>0</v>
      </c>
      <c r="F84" s="15" t="s">
        <v>69</v>
      </c>
      <c r="G84" s="15" t="s">
        <v>77</v>
      </c>
      <c r="H84" s="17" t="n">
        <v>45508</v>
      </c>
      <c r="I84" s="17"/>
      <c r="J84" s="15" t="s">
        <v>71</v>
      </c>
    </row>
    <row r="85" customFormat="false" ht="15" hidden="false" customHeight="false" outlineLevel="0" collapsed="false">
      <c r="A85" s="15" t="s">
        <v>53</v>
      </c>
      <c r="B85" s="15" t="s">
        <v>145</v>
      </c>
      <c r="C85" s="15" t="s">
        <v>68</v>
      </c>
      <c r="D85" s="16" t="n">
        <v>25</v>
      </c>
      <c r="E85" s="18" t="n">
        <v>0</v>
      </c>
      <c r="F85" s="15" t="s">
        <v>69</v>
      </c>
      <c r="G85" s="15" t="s">
        <v>77</v>
      </c>
      <c r="H85" s="17" t="n">
        <v>45542</v>
      </c>
      <c r="I85" s="17"/>
      <c r="J85" s="15" t="s">
        <v>71</v>
      </c>
    </row>
    <row r="86" customFormat="false" ht="15" hidden="false" customHeight="false" outlineLevel="0" collapsed="false">
      <c r="A86" s="15" t="s">
        <v>53</v>
      </c>
      <c r="B86" s="15" t="s">
        <v>146</v>
      </c>
      <c r="C86" s="15" t="s">
        <v>79</v>
      </c>
      <c r="D86" s="16" t="n">
        <v>7</v>
      </c>
      <c r="E86" s="18" t="n">
        <v>133</v>
      </c>
      <c r="F86" s="15" t="s">
        <v>74</v>
      </c>
      <c r="G86" s="15" t="s">
        <v>70</v>
      </c>
      <c r="H86" s="17" t="n">
        <v>45571</v>
      </c>
      <c r="I86" s="17"/>
      <c r="J86" s="15" t="s">
        <v>71</v>
      </c>
    </row>
    <row r="87" customFormat="false" ht="15" hidden="false" customHeight="false" outlineLevel="0" collapsed="false">
      <c r="A87" s="15" t="s">
        <v>53</v>
      </c>
      <c r="B87" s="15" t="s">
        <v>147</v>
      </c>
      <c r="C87" s="15" t="s">
        <v>68</v>
      </c>
      <c r="D87" s="16" t="n">
        <v>7</v>
      </c>
      <c r="E87" s="18" t="n">
        <v>343</v>
      </c>
      <c r="F87" s="15" t="s">
        <v>69</v>
      </c>
      <c r="G87" s="15" t="s">
        <v>70</v>
      </c>
      <c r="H87" s="17" t="n">
        <v>45612</v>
      </c>
      <c r="I87" s="17"/>
      <c r="J87" s="15" t="s">
        <v>71</v>
      </c>
    </row>
    <row r="88" customFormat="false" ht="15" hidden="false" customHeight="false" outlineLevel="0" collapsed="false">
      <c r="A88" s="25" t="s">
        <v>53</v>
      </c>
      <c r="B88" s="25" t="s">
        <v>148</v>
      </c>
      <c r="C88" s="25" t="s">
        <v>73</v>
      </c>
      <c r="D88" s="26" t="n">
        <v>26</v>
      </c>
      <c r="E88" s="27" t="n">
        <v>5174</v>
      </c>
      <c r="F88" s="25" t="s">
        <v>69</v>
      </c>
      <c r="G88" s="25" t="s">
        <v>70</v>
      </c>
      <c r="H88" s="28" t="n">
        <v>45638</v>
      </c>
      <c r="I88" s="28" t="n">
        <v>45641</v>
      </c>
      <c r="J88" s="25" t="s">
        <v>149</v>
      </c>
    </row>
    <row r="89" customFormat="false" ht="43.25" hidden="false" customHeight="false" outlineLevel="0" collapsed="false">
      <c r="D89" s="14" t="s">
        <v>83</v>
      </c>
      <c r="E89" s="22" t="n">
        <f aca="false">SUMIFS(Base_Assinaturas_8!$E$2:$E$73,Base_Assinaturas_8!$A$2:$A$73,"A-c45b23",Base_Assinaturas_8!$J$2:$J$73,"&gt;"&amp;DATE(2024,12,31))</f>
        <v>3330</v>
      </c>
    </row>
    <row r="91" customFormat="false" ht="15" hidden="false" customHeight="false" outlineLevel="0" collapsed="false">
      <c r="A91" s="24" t="s">
        <v>150</v>
      </c>
    </row>
    <row r="92" customFormat="false" ht="15" hidden="false" customHeight="false" outlineLevel="0" collapsed="false">
      <c r="A92" s="15" t="s">
        <v>55</v>
      </c>
      <c r="B92" s="15" t="s">
        <v>151</v>
      </c>
      <c r="C92" s="15" t="s">
        <v>79</v>
      </c>
      <c r="D92" s="16" t="n">
        <v>15</v>
      </c>
      <c r="E92" s="18" t="n">
        <v>285</v>
      </c>
      <c r="F92" s="15" t="s">
        <v>74</v>
      </c>
      <c r="G92" s="15" t="s">
        <v>70</v>
      </c>
      <c r="H92" s="17" t="n">
        <v>45131</v>
      </c>
      <c r="I92" s="17"/>
      <c r="J92" s="15" t="s">
        <v>71</v>
      </c>
    </row>
    <row r="93" customFormat="false" ht="15" hidden="false" customHeight="false" outlineLevel="0" collapsed="false">
      <c r="A93" s="15" t="s">
        <v>55</v>
      </c>
      <c r="B93" s="15" t="s">
        <v>152</v>
      </c>
      <c r="C93" s="15" t="s">
        <v>73</v>
      </c>
      <c r="D93" s="16" t="n">
        <v>6</v>
      </c>
      <c r="E93" s="18" t="n">
        <v>1194</v>
      </c>
      <c r="F93" s="15" t="s">
        <v>69</v>
      </c>
      <c r="G93" s="15" t="s">
        <v>70</v>
      </c>
      <c r="H93" s="17" t="n">
        <v>45173</v>
      </c>
      <c r="I93" s="17"/>
      <c r="J93" s="15" t="s">
        <v>71</v>
      </c>
    </row>
    <row r="94" customFormat="false" ht="15" hidden="false" customHeight="false" outlineLevel="0" collapsed="false">
      <c r="A94" s="15" t="s">
        <v>55</v>
      </c>
      <c r="B94" s="15" t="s">
        <v>153</v>
      </c>
      <c r="C94" s="15" t="s">
        <v>79</v>
      </c>
      <c r="D94" s="16" t="n">
        <v>35</v>
      </c>
      <c r="E94" s="18" t="n">
        <v>665</v>
      </c>
      <c r="F94" s="15" t="s">
        <v>74</v>
      </c>
      <c r="G94" s="15" t="s">
        <v>70</v>
      </c>
      <c r="H94" s="17" t="n">
        <v>45176</v>
      </c>
      <c r="I94" s="17" t="n">
        <v>45333</v>
      </c>
      <c r="J94" s="15" t="s">
        <v>89</v>
      </c>
    </row>
    <row r="95" customFormat="false" ht="15" hidden="false" customHeight="false" outlineLevel="0" collapsed="false">
      <c r="A95" s="15" t="s">
        <v>55</v>
      </c>
      <c r="B95" s="15" t="s">
        <v>154</v>
      </c>
      <c r="C95" s="15" t="s">
        <v>73</v>
      </c>
      <c r="D95" s="16" t="n">
        <v>10</v>
      </c>
      <c r="E95" s="18" t="n">
        <v>1990</v>
      </c>
      <c r="F95" s="15" t="s">
        <v>69</v>
      </c>
      <c r="G95" s="15" t="s">
        <v>70</v>
      </c>
      <c r="H95" s="17" t="n">
        <v>45277</v>
      </c>
      <c r="I95" s="17"/>
      <c r="J95" s="15" t="s">
        <v>71</v>
      </c>
    </row>
    <row r="96" customFormat="false" ht="15" hidden="false" customHeight="false" outlineLevel="0" collapsed="false">
      <c r="A96" s="25" t="s">
        <v>55</v>
      </c>
      <c r="B96" s="25" t="s">
        <v>155</v>
      </c>
      <c r="C96" s="25" t="s">
        <v>73</v>
      </c>
      <c r="D96" s="26" t="n">
        <v>22</v>
      </c>
      <c r="E96" s="27" t="n">
        <v>4378</v>
      </c>
      <c r="F96" s="25" t="s">
        <v>74</v>
      </c>
      <c r="G96" s="25" t="s">
        <v>70</v>
      </c>
      <c r="H96" s="28" t="n">
        <v>45323</v>
      </c>
      <c r="I96" s="28" t="n">
        <v>45523</v>
      </c>
      <c r="J96" s="25" t="s">
        <v>75</v>
      </c>
    </row>
    <row r="97" customFormat="false" ht="15" hidden="false" customHeight="false" outlineLevel="0" collapsed="false">
      <c r="A97" s="15" t="s">
        <v>55</v>
      </c>
      <c r="B97" s="15" t="s">
        <v>156</v>
      </c>
      <c r="C97" s="15" t="s">
        <v>79</v>
      </c>
      <c r="D97" s="16" t="n">
        <v>11</v>
      </c>
      <c r="E97" s="18" t="n">
        <v>209</v>
      </c>
      <c r="F97" s="15" t="s">
        <v>69</v>
      </c>
      <c r="G97" s="15" t="s">
        <v>70</v>
      </c>
      <c r="H97" s="17" t="n">
        <v>45332</v>
      </c>
      <c r="I97" s="17"/>
      <c r="J97" s="15" t="s">
        <v>71</v>
      </c>
    </row>
    <row r="98" customFormat="false" ht="15" hidden="false" customHeight="false" outlineLevel="0" collapsed="false">
      <c r="A98" s="15" t="s">
        <v>55</v>
      </c>
      <c r="B98" s="15" t="s">
        <v>157</v>
      </c>
      <c r="C98" s="15" t="s">
        <v>68</v>
      </c>
      <c r="D98" s="16" t="n">
        <v>13</v>
      </c>
      <c r="E98" s="18" t="n">
        <v>0</v>
      </c>
      <c r="F98" s="15" t="s">
        <v>74</v>
      </c>
      <c r="G98" s="15" t="s">
        <v>77</v>
      </c>
      <c r="H98" s="17" t="n">
        <v>45375</v>
      </c>
      <c r="I98" s="17"/>
      <c r="J98" s="15" t="s">
        <v>71</v>
      </c>
    </row>
    <row r="99" customFormat="false" ht="43.25" hidden="false" customHeight="false" outlineLevel="0" collapsed="false">
      <c r="D99" s="14" t="s">
        <v>83</v>
      </c>
      <c r="E99" s="22" t="n">
        <f aca="false">SUMIFS(Base_Assinaturas_8!$E$2:$E$73,Base_Assinaturas_8!$A$2:$A$73,"A-69fad4",Base_Assinaturas_8!$J$2:$J$73,"&gt;"&amp;DATE(2024,12,31))</f>
        <v>3678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18.55" hidden="false" customHeight="false" outlineLevel="0" collapsed="false">
      <c r="A1" s="6" t="s">
        <v>158</v>
      </c>
    </row>
    <row r="2" customFormat="false" ht="39.75" hidden="false" customHeight="true" outlineLevel="0" collapsed="false">
      <c r="A2" s="7" t="s">
        <v>159</v>
      </c>
      <c r="B2" s="7"/>
      <c r="C2" s="7"/>
      <c r="D2" s="7"/>
      <c r="E2" s="7"/>
      <c r="F2" s="7"/>
      <c r="G2" s="7"/>
    </row>
    <row r="4" customFormat="false" ht="39.75" hidden="false" customHeight="true" outlineLevel="0" collapsed="false">
      <c r="A4" s="8" t="s">
        <v>21</v>
      </c>
      <c r="B4" s="12" t="s">
        <v>160</v>
      </c>
      <c r="C4" s="12" t="s">
        <v>161</v>
      </c>
      <c r="D4" s="12" t="s">
        <v>162</v>
      </c>
      <c r="E4" s="11" t="s">
        <v>163</v>
      </c>
      <c r="F4" s="10" t="s">
        <v>164</v>
      </c>
      <c r="G4" s="10" t="s">
        <v>165</v>
      </c>
    </row>
    <row r="5" customFormat="false" ht="15" hidden="false" customHeight="false" outlineLevel="0" collapsed="false">
      <c r="A5" s="14" t="s">
        <v>166</v>
      </c>
      <c r="B5" s="16" t="n">
        <f aca="false">COUNTIFS(Base_Contas_8!$C$2:$C$9,$A5)</f>
        <v>1</v>
      </c>
      <c r="C5" s="18" t="n">
        <f aca="false">SUMIFS(Base_Contas_8!$M$2:$M$9,Base_Contas_8!$C$2:$C$9,$A5)</f>
        <v>17711</v>
      </c>
      <c r="D5" s="29" t="n">
        <f aca="false">B5/COUNTA(Base_Contas_8!$B$2:$B$9)</f>
        <v>0.125</v>
      </c>
      <c r="E5" s="29" t="n">
        <v>0.25</v>
      </c>
      <c r="F5" s="29" t="n">
        <v>0.196242171189979</v>
      </c>
      <c r="G5" s="15" t="s">
        <v>167</v>
      </c>
    </row>
    <row r="6" customFormat="false" ht="15" hidden="false" customHeight="false" outlineLevel="0" collapsed="false">
      <c r="A6" s="14" t="s">
        <v>168</v>
      </c>
      <c r="B6" s="16" t="n">
        <f aca="false">COUNTIFS(Base_Contas_8!$C$2:$C$9,$A6)</f>
        <v>3</v>
      </c>
      <c r="C6" s="18" t="n">
        <f aca="false">SUMIFS(Base_Contas_8!$M$2:$M$9,Base_Contas_8!$C$2:$C$9,$A6)</f>
        <v>18308</v>
      </c>
      <c r="D6" s="29" t="n">
        <f aca="false">B6/COUNTA(Base_Contas_8!$B$2:$B$9)</f>
        <v>0.375</v>
      </c>
      <c r="E6" s="29" t="n">
        <v>0.220588235294118</v>
      </c>
      <c r="F6" s="29" t="n">
        <v>0.225469728601253</v>
      </c>
      <c r="G6" s="15" t="s">
        <v>167</v>
      </c>
    </row>
    <row r="7" customFormat="false" ht="15" hidden="false" customHeight="false" outlineLevel="0" collapsed="false">
      <c r="A7" s="14" t="s">
        <v>169</v>
      </c>
      <c r="B7" s="16" t="n">
        <f aca="false">COUNTIFS(Base_Contas_8!$C$2:$C$9,$A7)</f>
        <v>0</v>
      </c>
      <c r="C7" s="18" t="n">
        <f aca="false">SUMIFS(Base_Contas_8!$M$2:$M$9,Base_Contas_8!$C$2:$C$9,$A7)</f>
        <v>0</v>
      </c>
      <c r="D7" s="29" t="n">
        <f aca="false">B7/COUNTA(Base_Contas_8!$B$2:$B$9)</f>
        <v>0</v>
      </c>
      <c r="E7" s="29" t="n">
        <v>0.147058823529412</v>
      </c>
      <c r="F7" s="29" t="n">
        <v>0.160751565762004</v>
      </c>
      <c r="G7" s="15" t="s">
        <v>167</v>
      </c>
    </row>
    <row r="8" customFormat="false" ht="15" hidden="false" customHeight="false" outlineLevel="0" collapsed="false">
      <c r="A8" s="14" t="s">
        <v>170</v>
      </c>
      <c r="B8" s="16" t="n">
        <f aca="false">COUNTIFS(Base_Contas_8!$C$2:$C$9,$A8)</f>
        <v>4</v>
      </c>
      <c r="C8" s="18" t="n">
        <f aca="false">SUMIFS(Base_Contas_8!$M$2:$M$9,Base_Contas_8!$C$2:$C$9,$A8)</f>
        <v>32835</v>
      </c>
      <c r="D8" s="29" t="n">
        <f aca="false">B8/COUNTA(Base_Contas_8!$B$2:$B$9)</f>
        <v>0.5</v>
      </c>
      <c r="E8" s="29" t="n">
        <v>0.205882352941177</v>
      </c>
      <c r="F8" s="29" t="n">
        <v>0.223382045929019</v>
      </c>
      <c r="G8" s="15" t="s">
        <v>167</v>
      </c>
    </row>
    <row r="9" customFormat="false" ht="15" hidden="false" customHeight="false" outlineLevel="0" collapsed="false">
      <c r="A9" s="14" t="s">
        <v>171</v>
      </c>
      <c r="B9" s="16" t="n">
        <f aca="false">COUNTIFS(Base_Contas_8!$C$2:$C$9,$A9)</f>
        <v>0</v>
      </c>
      <c r="C9" s="18" t="n">
        <f aca="false">SUMIFS(Base_Contas_8!$M$2:$M$9,Base_Contas_8!$C$2:$C$9,$A9)</f>
        <v>0</v>
      </c>
      <c r="D9" s="29" t="n">
        <f aca="false">B9/COUNTA(Base_Contas_8!$B$2:$B$9)</f>
        <v>0</v>
      </c>
      <c r="E9" s="29" t="n">
        <v>0.176470588235294</v>
      </c>
      <c r="F9" s="29" t="n">
        <v>0.194154488517745</v>
      </c>
      <c r="G9" s="15" t="s">
        <v>167</v>
      </c>
    </row>
    <row r="11" customFormat="false" ht="39.75" hidden="false" customHeight="true" outlineLevel="0" collapsed="false">
      <c r="A11" s="8" t="s">
        <v>23</v>
      </c>
      <c r="B11" s="12" t="s">
        <v>160</v>
      </c>
      <c r="C11" s="12" t="s">
        <v>161</v>
      </c>
      <c r="D11" s="12" t="s">
        <v>162</v>
      </c>
      <c r="E11" s="11" t="s">
        <v>163</v>
      </c>
      <c r="F11" s="10" t="s">
        <v>164</v>
      </c>
      <c r="G11" s="10" t="s">
        <v>165</v>
      </c>
    </row>
    <row r="12" customFormat="false" ht="15" hidden="false" customHeight="false" outlineLevel="0" collapsed="false">
      <c r="A12" s="14" t="s">
        <v>172</v>
      </c>
      <c r="B12" s="16" t="n">
        <f aca="false">COUNTIFS(Base_Contas_8!$E$2:$E$9,$A12)</f>
        <v>2</v>
      </c>
      <c r="C12" s="18" t="n">
        <f aca="false">SUMIFS(Base_Contas_8!$M$2:$M$9,Base_Contas_8!$E$2:$E$9,$A12)</f>
        <v>8358</v>
      </c>
      <c r="D12" s="29" t="n">
        <f aca="false">B12/COUNTA(Base_Contas_8!$B$2:$B$9)</f>
        <v>0.25</v>
      </c>
      <c r="E12" s="29" t="n">
        <v>0.220588235294118</v>
      </c>
      <c r="F12" s="29" t="n">
        <v>0.198329853862213</v>
      </c>
      <c r="G12" s="15" t="s">
        <v>167</v>
      </c>
    </row>
    <row r="13" customFormat="false" ht="15" hidden="false" customHeight="false" outlineLevel="0" collapsed="false">
      <c r="A13" s="14" t="s">
        <v>173</v>
      </c>
      <c r="B13" s="16" t="n">
        <f aca="false">COUNTIFS(Base_Contas_8!$E$2:$E$9,$A13)</f>
        <v>3</v>
      </c>
      <c r="C13" s="18" t="n">
        <f aca="false">SUMIFS(Base_Contas_8!$M$2:$M$9,Base_Contas_8!$E$2:$E$9,$A13)</f>
        <v>31840</v>
      </c>
      <c r="D13" s="29" t="n">
        <f aca="false">B13/COUNTA(Base_Contas_8!$B$2:$B$9)</f>
        <v>0.375</v>
      </c>
      <c r="E13" s="29" t="n">
        <v>0.235294117647059</v>
      </c>
      <c r="F13" s="29" t="n">
        <v>0.189979123173278</v>
      </c>
      <c r="G13" s="15" t="s">
        <v>167</v>
      </c>
    </row>
    <row r="14" customFormat="false" ht="15" hidden="false" customHeight="false" outlineLevel="0" collapsed="false">
      <c r="A14" s="14" t="s">
        <v>174</v>
      </c>
      <c r="B14" s="16" t="n">
        <f aca="false">COUNTIFS(Base_Contas_8!$E$2:$E$9,$A14)</f>
        <v>0</v>
      </c>
      <c r="C14" s="18" t="n">
        <f aca="false">SUMIFS(Base_Contas_8!$M$2:$M$9,Base_Contas_8!$E$2:$E$9,$A14)</f>
        <v>0</v>
      </c>
      <c r="D14" s="29" t="n">
        <f aca="false">B14/COUNTA(Base_Contas_8!$B$2:$B$9)</f>
        <v>0</v>
      </c>
      <c r="E14" s="29" t="n">
        <v>0.220588235294118</v>
      </c>
      <c r="F14" s="29" t="n">
        <v>0.22964509394572</v>
      </c>
      <c r="G14" s="15" t="s">
        <v>167</v>
      </c>
    </row>
    <row r="15" customFormat="false" ht="15" hidden="false" customHeight="false" outlineLevel="0" collapsed="false">
      <c r="A15" s="14" t="s">
        <v>175</v>
      </c>
      <c r="B15" s="16" t="n">
        <f aca="false">COUNTIFS(Base_Contas_8!$E$2:$E$9,$A15)</f>
        <v>2</v>
      </c>
      <c r="C15" s="18" t="n">
        <f aca="false">SUMIFS(Base_Contas_8!$M$2:$M$9,Base_Contas_8!$E$2:$E$9,$A15)</f>
        <v>23482</v>
      </c>
      <c r="D15" s="29" t="n">
        <f aca="false">B15/COUNTA(Base_Contas_8!$B$2:$B$9)</f>
        <v>0.25</v>
      </c>
      <c r="E15" s="29" t="n">
        <v>0.147058823529412</v>
      </c>
      <c r="F15" s="29" t="n">
        <v>0.202505219206681</v>
      </c>
      <c r="G15" s="15" t="s">
        <v>167</v>
      </c>
    </row>
    <row r="16" customFormat="false" ht="15" hidden="false" customHeight="false" outlineLevel="0" collapsed="false">
      <c r="A16" s="14" t="s">
        <v>176</v>
      </c>
      <c r="B16" s="16" t="n">
        <f aca="false">COUNTIFS(Base_Contas_8!$E$2:$E$9,$A16)</f>
        <v>1</v>
      </c>
      <c r="C16" s="18" t="n">
        <f aca="false">SUMIFS(Base_Contas_8!$M$2:$M$9,Base_Contas_8!$E$2:$E$9,$A16)</f>
        <v>5174</v>
      </c>
      <c r="D16" s="29" t="n">
        <f aca="false">B16/COUNTA(Base_Contas_8!$B$2:$B$9)</f>
        <v>0.125</v>
      </c>
      <c r="E16" s="29" t="n">
        <v>0.176470588235294</v>
      </c>
      <c r="F16" s="29" t="n">
        <v>0.179540709812109</v>
      </c>
      <c r="G16" s="15" t="s">
        <v>167</v>
      </c>
    </row>
    <row r="18" customFormat="false" ht="39.75" hidden="false" customHeight="true" outlineLevel="0" collapsed="false">
      <c r="A18" s="8" t="s">
        <v>22</v>
      </c>
      <c r="B18" s="12" t="s">
        <v>160</v>
      </c>
      <c r="C18" s="12" t="s">
        <v>161</v>
      </c>
      <c r="D18" s="12" t="s">
        <v>162</v>
      </c>
      <c r="E18" s="11" t="s">
        <v>163</v>
      </c>
      <c r="F18" s="10" t="s">
        <v>164</v>
      </c>
      <c r="G18" s="10" t="s">
        <v>165</v>
      </c>
    </row>
    <row r="19" customFormat="false" ht="15" hidden="false" customHeight="false" outlineLevel="0" collapsed="false">
      <c r="A19" s="14" t="s">
        <v>177</v>
      </c>
      <c r="B19" s="16" t="n">
        <f aca="false">COUNTIFS(Base_Contas_8!$D$2:$D$9,$A19)</f>
        <v>1</v>
      </c>
      <c r="C19" s="18" t="n">
        <f aca="false">SUMIFS(Base_Contas_8!$M$2:$M$9,Base_Contas_8!$D$2:$D$9,$A19)</f>
        <v>7960</v>
      </c>
      <c r="D19" s="29" t="n">
        <f aca="false">B19/COUNTA(Base_Contas_8!$B$2:$B$9)</f>
        <v>0.125</v>
      </c>
      <c r="E19" s="29" t="n">
        <v>0.0882352941176471</v>
      </c>
      <c r="F19" s="29" t="n">
        <v>0.0668058455114823</v>
      </c>
      <c r="G19" s="15" t="s">
        <v>178</v>
      </c>
    </row>
    <row r="20" customFormat="false" ht="15" hidden="false" customHeight="false" outlineLevel="0" collapsed="false">
      <c r="A20" s="14" t="s">
        <v>179</v>
      </c>
      <c r="B20" s="16" t="n">
        <f aca="false">COUNTIFS(Base_Contas_8!$D$2:$D$9,$A20)</f>
        <v>0</v>
      </c>
      <c r="C20" s="18" t="n">
        <f aca="false">SUMIFS(Base_Contas_8!$M$2:$M$9,Base_Contas_8!$D$2:$D$9,$A20)</f>
        <v>0</v>
      </c>
      <c r="D20" s="29" t="n">
        <f aca="false">B20/COUNTA(Base_Contas_8!$B$2:$B$9)</f>
        <v>0</v>
      </c>
      <c r="E20" s="29" t="n">
        <v>0.0147058823529412</v>
      </c>
      <c r="F20" s="29" t="n">
        <v>0.0438413361169102</v>
      </c>
      <c r="G20" s="15" t="s">
        <v>178</v>
      </c>
    </row>
    <row r="21" customFormat="false" ht="15" hidden="false" customHeight="false" outlineLevel="0" collapsed="false">
      <c r="A21" s="14" t="s">
        <v>180</v>
      </c>
      <c r="B21" s="16" t="n">
        <f aca="false">COUNTIFS(Base_Contas_8!$D$2:$D$9,$A21)</f>
        <v>0</v>
      </c>
      <c r="C21" s="18" t="n">
        <f aca="false">SUMIFS(Base_Contas_8!$M$2:$M$9,Base_Contas_8!$D$2:$D$9,$A21)</f>
        <v>0</v>
      </c>
      <c r="D21" s="29" t="n">
        <f aca="false">B21/COUNTA(Base_Contas_8!$B$2:$B$9)</f>
        <v>0</v>
      </c>
      <c r="E21" s="29" t="n">
        <v>0.0735294117647059</v>
      </c>
      <c r="F21" s="29" t="n">
        <v>0.0521920668058455</v>
      </c>
      <c r="G21" s="15" t="s">
        <v>178</v>
      </c>
    </row>
    <row r="22" customFormat="false" ht="15" hidden="false" customHeight="false" outlineLevel="0" collapsed="false">
      <c r="A22" s="14" t="s">
        <v>181</v>
      </c>
      <c r="B22" s="16" t="n">
        <f aca="false">COUNTIFS(Base_Contas_8!$D$2:$D$9,$A22)</f>
        <v>0</v>
      </c>
      <c r="C22" s="18" t="n">
        <f aca="false">SUMIFS(Base_Contas_8!$M$2:$M$9,Base_Contas_8!$D$2:$D$9,$A22)</f>
        <v>0</v>
      </c>
      <c r="D22" s="29" t="n">
        <f aca="false">B22/COUNTA(Base_Contas_8!$B$2:$B$9)</f>
        <v>0</v>
      </c>
      <c r="E22" s="29" t="n">
        <v>0.0735294117647059</v>
      </c>
      <c r="F22" s="29" t="n">
        <v>0.0417536534446764</v>
      </c>
      <c r="G22" s="15" t="s">
        <v>178</v>
      </c>
    </row>
    <row r="23" customFormat="false" ht="15" hidden="false" customHeight="false" outlineLevel="0" collapsed="false">
      <c r="A23" s="14" t="s">
        <v>182</v>
      </c>
      <c r="B23" s="16" t="n">
        <f aca="false">COUNTIFS(Base_Contas_8!$D$2:$D$9,$A23)</f>
        <v>1</v>
      </c>
      <c r="C23" s="18" t="n">
        <f aca="false">SUMIFS(Base_Contas_8!$M$2:$M$9,Base_Contas_8!$D$2:$D$9,$A23)</f>
        <v>17114</v>
      </c>
      <c r="D23" s="29" t="n">
        <f aca="false">B23/COUNTA(Base_Contas_8!$B$2:$B$9)</f>
        <v>0.125</v>
      </c>
      <c r="E23" s="29" t="n">
        <v>0.0294117647058824</v>
      </c>
      <c r="F23" s="29" t="n">
        <v>0.0981210855949896</v>
      </c>
      <c r="G23" s="15" t="s">
        <v>178</v>
      </c>
    </row>
    <row r="24" customFormat="false" ht="15" hidden="false" customHeight="false" outlineLevel="0" collapsed="false">
      <c r="A24" s="14" t="s">
        <v>183</v>
      </c>
      <c r="B24" s="16" t="n">
        <f aca="false">COUNTIFS(Base_Contas_8!$D$2:$D$9,$A24)</f>
        <v>4</v>
      </c>
      <c r="C24" s="18" t="n">
        <f aca="false">SUMIFS(Base_Contas_8!$M$2:$M$9,Base_Contas_8!$D$2:$D$9,$A24)</f>
        <v>33631</v>
      </c>
      <c r="D24" s="29" t="n">
        <f aca="false">B24/COUNTA(Base_Contas_8!$B$2:$B$9)</f>
        <v>0.5</v>
      </c>
      <c r="E24" s="29" t="n">
        <v>0.205882352941177</v>
      </c>
      <c r="F24" s="29" t="n">
        <v>0.116910229645094</v>
      </c>
      <c r="G24" s="15" t="s">
        <v>167</v>
      </c>
    </row>
    <row r="25" customFormat="false" ht="15" hidden="false" customHeight="false" outlineLevel="0" collapsed="false">
      <c r="A25" s="14" t="s">
        <v>184</v>
      </c>
      <c r="B25" s="16" t="n">
        <f aca="false">COUNTIFS(Base_Contas_8!$D$2:$D$9,$A25)</f>
        <v>2</v>
      </c>
      <c r="C25" s="18" t="n">
        <f aca="false">SUMIFS(Base_Contas_8!$M$2:$M$9,Base_Contas_8!$D$2:$D$9,$A25)</f>
        <v>10149</v>
      </c>
      <c r="D25" s="29" t="n">
        <f aca="false">B25/COUNTA(Base_Contas_8!$B$2:$B$9)</f>
        <v>0.25</v>
      </c>
      <c r="E25" s="29" t="n">
        <v>0.514705882352941</v>
      </c>
      <c r="F25" s="29" t="n">
        <v>0.580375782881002</v>
      </c>
      <c r="G25" s="15" t="s">
        <v>167</v>
      </c>
    </row>
    <row r="27" customFormat="false" ht="39.75" hidden="false" customHeight="true" outlineLevel="0" collapsed="false">
      <c r="A27" s="7" t="s">
        <v>185</v>
      </c>
      <c r="B27" s="7"/>
      <c r="C27" s="7"/>
      <c r="D27" s="7"/>
      <c r="E27" s="7"/>
      <c r="F27" s="7"/>
      <c r="G27" s="7"/>
    </row>
  </sheetData>
  <mergeCells count="2">
    <mergeCell ref="A2:G2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30" t="s">
        <v>186</v>
      </c>
      <c r="B1" s="30" t="s">
        <v>187</v>
      </c>
      <c r="C1" s="30" t="s">
        <v>188</v>
      </c>
      <c r="D1" s="30" t="s">
        <v>189</v>
      </c>
      <c r="E1" s="30" t="s">
        <v>190</v>
      </c>
      <c r="F1" s="30" t="s">
        <v>191</v>
      </c>
      <c r="G1" s="30" t="s">
        <v>192</v>
      </c>
      <c r="H1" s="30" t="s">
        <v>193</v>
      </c>
      <c r="I1" s="30" t="s">
        <v>194</v>
      </c>
      <c r="J1" s="30" t="s">
        <v>195</v>
      </c>
      <c r="K1" s="30" t="s">
        <v>196</v>
      </c>
      <c r="L1" s="30" t="s">
        <v>197</v>
      </c>
    </row>
    <row r="2" customFormat="false" ht="15" hidden="false" customHeight="false" outlineLevel="0" collapsed="false">
      <c r="A2" s="0" t="s">
        <v>43</v>
      </c>
      <c r="B2" s="0" t="s">
        <v>85</v>
      </c>
      <c r="C2" s="0" t="s">
        <v>79</v>
      </c>
      <c r="D2" s="0" t="n">
        <v>2</v>
      </c>
      <c r="E2" s="31" t="n">
        <v>38</v>
      </c>
      <c r="F2" s="32" t="s">
        <v>69</v>
      </c>
      <c r="G2" s="32" t="s">
        <v>70</v>
      </c>
      <c r="H2" s="33" t="n">
        <v>45248</v>
      </c>
      <c r="I2" s="33" t="n">
        <v>45466</v>
      </c>
      <c r="J2" s="33" t="n">
        <v>45466</v>
      </c>
      <c r="K2" s="32" t="s">
        <v>75</v>
      </c>
      <c r="L2" s="32" t="s">
        <v>70</v>
      </c>
    </row>
    <row r="3" customFormat="false" ht="15" hidden="false" customHeight="false" outlineLevel="0" collapsed="false">
      <c r="A3" s="0" t="s">
        <v>43</v>
      </c>
      <c r="B3" s="0" t="s">
        <v>86</v>
      </c>
      <c r="C3" s="0" t="s">
        <v>73</v>
      </c>
      <c r="D3" s="0" t="n">
        <v>40</v>
      </c>
      <c r="E3" s="31" t="n">
        <v>7960</v>
      </c>
      <c r="F3" s="32" t="s">
        <v>74</v>
      </c>
      <c r="G3" s="32" t="s">
        <v>70</v>
      </c>
      <c r="H3" s="33" t="n">
        <v>45333</v>
      </c>
      <c r="I3" s="33" t="n">
        <v>45593</v>
      </c>
      <c r="J3" s="33" t="n">
        <v>45593</v>
      </c>
      <c r="K3" s="32" t="s">
        <v>75</v>
      </c>
      <c r="L3" s="32" t="s">
        <v>77</v>
      </c>
    </row>
    <row r="4" customFormat="false" ht="15" hidden="false" customHeight="false" outlineLevel="0" collapsed="false">
      <c r="A4" s="0" t="s">
        <v>43</v>
      </c>
      <c r="B4" s="0" t="s">
        <v>87</v>
      </c>
      <c r="C4" s="0" t="s">
        <v>79</v>
      </c>
      <c r="D4" s="0" t="n">
        <v>65</v>
      </c>
      <c r="E4" s="31" t="n">
        <v>0</v>
      </c>
      <c r="F4" s="32" t="s">
        <v>74</v>
      </c>
      <c r="G4" s="32" t="s">
        <v>77</v>
      </c>
      <c r="H4" s="33" t="n">
        <v>45402</v>
      </c>
      <c r="I4" s="33"/>
      <c r="J4" s="33" t="n">
        <v>73050</v>
      </c>
      <c r="K4" s="32" t="s">
        <v>71</v>
      </c>
      <c r="L4" s="32" t="s">
        <v>70</v>
      </c>
    </row>
    <row r="5" customFormat="false" ht="15" hidden="false" customHeight="false" outlineLevel="0" collapsed="false">
      <c r="A5" s="0" t="s">
        <v>43</v>
      </c>
      <c r="B5" s="0" t="s">
        <v>88</v>
      </c>
      <c r="C5" s="0" t="s">
        <v>73</v>
      </c>
      <c r="D5" s="0" t="n">
        <v>22</v>
      </c>
      <c r="E5" s="31" t="n">
        <v>4378</v>
      </c>
      <c r="F5" s="32" t="s">
        <v>69</v>
      </c>
      <c r="G5" s="32" t="s">
        <v>70</v>
      </c>
      <c r="H5" s="33" t="n">
        <v>45435</v>
      </c>
      <c r="I5" s="33" t="n">
        <v>45562</v>
      </c>
      <c r="J5" s="33" t="n">
        <v>45562</v>
      </c>
      <c r="K5" s="32" t="s">
        <v>89</v>
      </c>
      <c r="L5" s="32" t="s">
        <v>70</v>
      </c>
    </row>
    <row r="6" customFormat="false" ht="15" hidden="false" customHeight="false" outlineLevel="0" collapsed="false">
      <c r="A6" s="0" t="s">
        <v>43</v>
      </c>
      <c r="B6" s="0" t="s">
        <v>90</v>
      </c>
      <c r="C6" s="0" t="s">
        <v>73</v>
      </c>
      <c r="D6" s="0" t="n">
        <v>4</v>
      </c>
      <c r="E6" s="31" t="n">
        <v>796</v>
      </c>
      <c r="F6" s="32" t="s">
        <v>74</v>
      </c>
      <c r="G6" s="32" t="s">
        <v>70</v>
      </c>
      <c r="H6" s="33" t="n">
        <v>45536</v>
      </c>
      <c r="I6" s="33" t="n">
        <v>45657</v>
      </c>
      <c r="J6" s="33" t="n">
        <v>45657</v>
      </c>
      <c r="K6" s="32" t="s">
        <v>75</v>
      </c>
      <c r="L6" s="32" t="s">
        <v>70</v>
      </c>
    </row>
    <row r="7" customFormat="false" ht="15" hidden="false" customHeight="false" outlineLevel="0" collapsed="false">
      <c r="A7" s="0" t="s">
        <v>43</v>
      </c>
      <c r="B7" s="0" t="s">
        <v>91</v>
      </c>
      <c r="C7" s="0" t="s">
        <v>79</v>
      </c>
      <c r="D7" s="0" t="n">
        <v>9</v>
      </c>
      <c r="E7" s="31" t="n">
        <v>171</v>
      </c>
      <c r="F7" s="32" t="s">
        <v>69</v>
      </c>
      <c r="G7" s="32" t="s">
        <v>70</v>
      </c>
      <c r="H7" s="33" t="n">
        <v>45555</v>
      </c>
      <c r="I7" s="33"/>
      <c r="J7" s="33" t="n">
        <v>73050</v>
      </c>
      <c r="K7" s="32" t="s">
        <v>71</v>
      </c>
      <c r="L7" s="32" t="s">
        <v>70</v>
      </c>
    </row>
    <row r="8" customFormat="false" ht="15" hidden="false" customHeight="false" outlineLevel="0" collapsed="false">
      <c r="A8" s="0" t="s">
        <v>45</v>
      </c>
      <c r="B8" s="0" t="s">
        <v>93</v>
      </c>
      <c r="C8" s="0" t="s">
        <v>73</v>
      </c>
      <c r="D8" s="0" t="n">
        <v>8</v>
      </c>
      <c r="E8" s="31" t="n">
        <v>1592</v>
      </c>
      <c r="F8" s="32" t="s">
        <v>74</v>
      </c>
      <c r="G8" s="32" t="s">
        <v>70</v>
      </c>
      <c r="H8" s="33" t="n">
        <v>45098</v>
      </c>
      <c r="I8" s="33"/>
      <c r="J8" s="33" t="n">
        <v>73050</v>
      </c>
      <c r="K8" s="32" t="s">
        <v>71</v>
      </c>
      <c r="L8" s="32" t="s">
        <v>70</v>
      </c>
    </row>
    <row r="9" customFormat="false" ht="15" hidden="false" customHeight="false" outlineLevel="0" collapsed="false">
      <c r="A9" s="0" t="s">
        <v>45</v>
      </c>
      <c r="B9" s="0" t="s">
        <v>94</v>
      </c>
      <c r="C9" s="0" t="s">
        <v>79</v>
      </c>
      <c r="D9" s="0" t="n">
        <v>28</v>
      </c>
      <c r="E9" s="31" t="n">
        <v>532</v>
      </c>
      <c r="F9" s="32" t="s">
        <v>69</v>
      </c>
      <c r="G9" s="32" t="s">
        <v>70</v>
      </c>
      <c r="H9" s="33" t="n">
        <v>45103</v>
      </c>
      <c r="I9" s="33"/>
      <c r="J9" s="33" t="n">
        <v>73050</v>
      </c>
      <c r="K9" s="32" t="s">
        <v>71</v>
      </c>
      <c r="L9" s="32" t="s">
        <v>70</v>
      </c>
    </row>
    <row r="10" customFormat="false" ht="15" hidden="false" customHeight="false" outlineLevel="0" collapsed="false">
      <c r="A10" s="0" t="s">
        <v>45</v>
      </c>
      <c r="B10" s="0" t="s">
        <v>95</v>
      </c>
      <c r="C10" s="0" t="s">
        <v>68</v>
      </c>
      <c r="D10" s="0" t="n">
        <v>8</v>
      </c>
      <c r="E10" s="31" t="n">
        <v>392</v>
      </c>
      <c r="F10" s="32" t="s">
        <v>69</v>
      </c>
      <c r="G10" s="32" t="s">
        <v>70</v>
      </c>
      <c r="H10" s="33" t="n">
        <v>45129</v>
      </c>
      <c r="I10" s="33"/>
      <c r="J10" s="33" t="n">
        <v>73050</v>
      </c>
      <c r="K10" s="32" t="s">
        <v>71</v>
      </c>
      <c r="L10" s="32" t="s">
        <v>70</v>
      </c>
    </row>
    <row r="11" customFormat="false" ht="15" hidden="false" customHeight="false" outlineLevel="0" collapsed="false">
      <c r="A11" s="0" t="s">
        <v>45</v>
      </c>
      <c r="B11" s="0" t="s">
        <v>96</v>
      </c>
      <c r="C11" s="0" t="s">
        <v>73</v>
      </c>
      <c r="D11" s="0" t="n">
        <v>32</v>
      </c>
      <c r="E11" s="31" t="n">
        <v>6368</v>
      </c>
      <c r="F11" s="32" t="s">
        <v>74</v>
      </c>
      <c r="G11" s="32" t="s">
        <v>70</v>
      </c>
      <c r="H11" s="33" t="n">
        <v>45156</v>
      </c>
      <c r="I11" s="33" t="n">
        <v>45231</v>
      </c>
      <c r="J11" s="33" t="n">
        <v>45231</v>
      </c>
      <c r="K11" s="32" t="s">
        <v>75</v>
      </c>
      <c r="L11" s="32" t="s">
        <v>77</v>
      </c>
    </row>
    <row r="12" customFormat="false" ht="15" hidden="false" customHeight="false" outlineLevel="0" collapsed="false">
      <c r="A12" s="0" t="s">
        <v>45</v>
      </c>
      <c r="B12" s="0" t="s">
        <v>97</v>
      </c>
      <c r="C12" s="0" t="s">
        <v>68</v>
      </c>
      <c r="D12" s="0" t="n">
        <v>71</v>
      </c>
      <c r="E12" s="31" t="n">
        <v>3479</v>
      </c>
      <c r="F12" s="32" t="s">
        <v>74</v>
      </c>
      <c r="G12" s="32" t="s">
        <v>70</v>
      </c>
      <c r="H12" s="33" t="n">
        <v>45248</v>
      </c>
      <c r="I12" s="33"/>
      <c r="J12" s="33" t="n">
        <v>73050</v>
      </c>
      <c r="K12" s="32" t="s">
        <v>71</v>
      </c>
      <c r="L12" s="32" t="s">
        <v>70</v>
      </c>
    </row>
    <row r="13" customFormat="false" ht="15" hidden="false" customHeight="false" outlineLevel="0" collapsed="false">
      <c r="A13" s="0" t="s">
        <v>45</v>
      </c>
      <c r="B13" s="0" t="s">
        <v>98</v>
      </c>
      <c r="C13" s="0" t="s">
        <v>79</v>
      </c>
      <c r="D13" s="0" t="n">
        <v>8</v>
      </c>
      <c r="E13" s="31" t="n">
        <v>152</v>
      </c>
      <c r="F13" s="32" t="s">
        <v>74</v>
      </c>
      <c r="G13" s="32" t="s">
        <v>70</v>
      </c>
      <c r="H13" s="33" t="n">
        <v>45398</v>
      </c>
      <c r="I13" s="33"/>
      <c r="J13" s="33" t="n">
        <v>73050</v>
      </c>
      <c r="K13" s="32" t="s">
        <v>71</v>
      </c>
      <c r="L13" s="32" t="s">
        <v>70</v>
      </c>
    </row>
    <row r="14" customFormat="false" ht="15" hidden="false" customHeight="false" outlineLevel="0" collapsed="false">
      <c r="A14" s="0" t="s">
        <v>45</v>
      </c>
      <c r="B14" s="0" t="s">
        <v>99</v>
      </c>
      <c r="C14" s="0" t="s">
        <v>79</v>
      </c>
      <c r="D14" s="0" t="n">
        <v>14</v>
      </c>
      <c r="E14" s="31" t="n">
        <v>266</v>
      </c>
      <c r="F14" s="32" t="s">
        <v>74</v>
      </c>
      <c r="G14" s="32" t="s">
        <v>70</v>
      </c>
      <c r="H14" s="33" t="n">
        <v>45419</v>
      </c>
      <c r="I14" s="33"/>
      <c r="J14" s="33" t="n">
        <v>73050</v>
      </c>
      <c r="K14" s="32" t="s">
        <v>71</v>
      </c>
      <c r="L14" s="32" t="s">
        <v>70</v>
      </c>
    </row>
    <row r="15" customFormat="false" ht="15" hidden="false" customHeight="false" outlineLevel="0" collapsed="false">
      <c r="A15" s="0" t="s">
        <v>45</v>
      </c>
      <c r="B15" s="0" t="s">
        <v>100</v>
      </c>
      <c r="C15" s="0" t="s">
        <v>79</v>
      </c>
      <c r="D15" s="0" t="n">
        <v>27</v>
      </c>
      <c r="E15" s="31" t="n">
        <v>513</v>
      </c>
      <c r="F15" s="32" t="s">
        <v>74</v>
      </c>
      <c r="G15" s="32" t="s">
        <v>70</v>
      </c>
      <c r="H15" s="33" t="n">
        <v>45436</v>
      </c>
      <c r="I15" s="33"/>
      <c r="J15" s="33" t="n">
        <v>73050</v>
      </c>
      <c r="K15" s="32" t="s">
        <v>71</v>
      </c>
      <c r="L15" s="32" t="s">
        <v>70</v>
      </c>
    </row>
    <row r="16" customFormat="false" ht="15" hidden="false" customHeight="false" outlineLevel="0" collapsed="false">
      <c r="A16" s="0" t="s">
        <v>45</v>
      </c>
      <c r="B16" s="0" t="s">
        <v>101</v>
      </c>
      <c r="C16" s="0" t="s">
        <v>79</v>
      </c>
      <c r="D16" s="0" t="n">
        <v>37</v>
      </c>
      <c r="E16" s="31" t="n">
        <v>703</v>
      </c>
      <c r="F16" s="32" t="s">
        <v>74</v>
      </c>
      <c r="G16" s="32" t="s">
        <v>70</v>
      </c>
      <c r="H16" s="33" t="n">
        <v>45483</v>
      </c>
      <c r="I16" s="33"/>
      <c r="J16" s="33" t="n">
        <v>73050</v>
      </c>
      <c r="K16" s="32" t="s">
        <v>71</v>
      </c>
      <c r="L16" s="32" t="s">
        <v>70</v>
      </c>
    </row>
    <row r="17" customFormat="false" ht="15" hidden="false" customHeight="false" outlineLevel="0" collapsed="false">
      <c r="A17" s="0" t="s">
        <v>45</v>
      </c>
      <c r="B17" s="0" t="s">
        <v>102</v>
      </c>
      <c r="C17" s="0" t="s">
        <v>68</v>
      </c>
      <c r="D17" s="0" t="n">
        <v>27</v>
      </c>
      <c r="E17" s="31" t="n">
        <v>1323</v>
      </c>
      <c r="F17" s="32" t="s">
        <v>74</v>
      </c>
      <c r="G17" s="32" t="s">
        <v>70</v>
      </c>
      <c r="H17" s="33" t="n">
        <v>45510</v>
      </c>
      <c r="I17" s="33"/>
      <c r="J17" s="33" t="n">
        <v>73050</v>
      </c>
      <c r="K17" s="32" t="s">
        <v>71</v>
      </c>
      <c r="L17" s="32" t="s">
        <v>70</v>
      </c>
    </row>
    <row r="18" customFormat="false" ht="15" hidden="false" customHeight="false" outlineLevel="0" collapsed="false">
      <c r="A18" s="0" t="s">
        <v>45</v>
      </c>
      <c r="B18" s="0" t="s">
        <v>103</v>
      </c>
      <c r="C18" s="0" t="s">
        <v>73</v>
      </c>
      <c r="D18" s="0" t="n">
        <v>9</v>
      </c>
      <c r="E18" s="31" t="n">
        <v>1791</v>
      </c>
      <c r="F18" s="32" t="s">
        <v>69</v>
      </c>
      <c r="G18" s="32" t="s">
        <v>70</v>
      </c>
      <c r="H18" s="33" t="n">
        <v>45517</v>
      </c>
      <c r="I18" s="33"/>
      <c r="J18" s="33" t="n">
        <v>73050</v>
      </c>
      <c r="K18" s="32" t="s">
        <v>71</v>
      </c>
      <c r="L18" s="32" t="s">
        <v>70</v>
      </c>
    </row>
    <row r="19" customFormat="false" ht="15" hidden="false" customHeight="false" outlineLevel="0" collapsed="false">
      <c r="A19" s="0" t="s">
        <v>41</v>
      </c>
      <c r="B19" s="0" t="s">
        <v>67</v>
      </c>
      <c r="C19" s="0" t="s">
        <v>68</v>
      </c>
      <c r="D19" s="0" t="n">
        <v>1</v>
      </c>
      <c r="E19" s="31" t="n">
        <v>49</v>
      </c>
      <c r="F19" s="32" t="s">
        <v>69</v>
      </c>
      <c r="G19" s="32" t="s">
        <v>70</v>
      </c>
      <c r="H19" s="33" t="n">
        <v>45494</v>
      </c>
      <c r="I19" s="33"/>
      <c r="J19" s="33" t="n">
        <v>73050</v>
      </c>
      <c r="K19" s="32" t="s">
        <v>71</v>
      </c>
      <c r="L19" s="32" t="s">
        <v>70</v>
      </c>
    </row>
    <row r="20" customFormat="false" ht="15" hidden="false" customHeight="false" outlineLevel="0" collapsed="false">
      <c r="A20" s="0" t="s">
        <v>41</v>
      </c>
      <c r="B20" s="0" t="s">
        <v>72</v>
      </c>
      <c r="C20" s="0" t="s">
        <v>73</v>
      </c>
      <c r="D20" s="0" t="n">
        <v>20</v>
      </c>
      <c r="E20" s="31" t="n">
        <v>3980</v>
      </c>
      <c r="F20" s="32" t="s">
        <v>74</v>
      </c>
      <c r="G20" s="32" t="s">
        <v>70</v>
      </c>
      <c r="H20" s="33" t="n">
        <v>45505</v>
      </c>
      <c r="I20" s="33" t="n">
        <v>45518</v>
      </c>
      <c r="J20" s="33" t="n">
        <v>45518</v>
      </c>
      <c r="K20" s="32" t="s">
        <v>75</v>
      </c>
      <c r="L20" s="32" t="s">
        <v>77</v>
      </c>
    </row>
    <row r="21" customFormat="false" ht="15" hidden="false" customHeight="false" outlineLevel="0" collapsed="false">
      <c r="A21" s="0" t="s">
        <v>41</v>
      </c>
      <c r="B21" s="0" t="s">
        <v>76</v>
      </c>
      <c r="C21" s="0" t="s">
        <v>73</v>
      </c>
      <c r="D21" s="0" t="n">
        <v>53</v>
      </c>
      <c r="E21" s="31" t="n">
        <v>0</v>
      </c>
      <c r="F21" s="32" t="s">
        <v>74</v>
      </c>
      <c r="G21" s="32" t="s">
        <v>77</v>
      </c>
      <c r="H21" s="33" t="n">
        <v>45506</v>
      </c>
      <c r="I21" s="33"/>
      <c r="J21" s="33" t="n">
        <v>73050</v>
      </c>
      <c r="K21" s="32" t="s">
        <v>71</v>
      </c>
      <c r="L21" s="32" t="s">
        <v>70</v>
      </c>
    </row>
    <row r="22" customFormat="false" ht="15" hidden="false" customHeight="false" outlineLevel="0" collapsed="false">
      <c r="A22" s="0" t="s">
        <v>41</v>
      </c>
      <c r="B22" s="0" t="s">
        <v>78</v>
      </c>
      <c r="C22" s="0" t="s">
        <v>79</v>
      </c>
      <c r="D22" s="0" t="n">
        <v>1</v>
      </c>
      <c r="E22" s="31" t="n">
        <v>19</v>
      </c>
      <c r="F22" s="32" t="s">
        <v>69</v>
      </c>
      <c r="G22" s="32" t="s">
        <v>70</v>
      </c>
      <c r="H22" s="33" t="n">
        <v>45533</v>
      </c>
      <c r="I22" s="33"/>
      <c r="J22" s="33" t="n">
        <v>73050</v>
      </c>
      <c r="K22" s="32" t="s">
        <v>71</v>
      </c>
      <c r="L22" s="32" t="s">
        <v>70</v>
      </c>
    </row>
    <row r="23" customFormat="false" ht="15" hidden="false" customHeight="false" outlineLevel="0" collapsed="false">
      <c r="A23" s="0" t="s">
        <v>41</v>
      </c>
      <c r="B23" s="0" t="s">
        <v>80</v>
      </c>
      <c r="C23" s="0" t="s">
        <v>73</v>
      </c>
      <c r="D23" s="0" t="n">
        <v>22</v>
      </c>
      <c r="E23" s="31" t="n">
        <v>4378</v>
      </c>
      <c r="F23" s="32" t="s">
        <v>69</v>
      </c>
      <c r="G23" s="32" t="s">
        <v>70</v>
      </c>
      <c r="H23" s="33" t="n">
        <v>45583</v>
      </c>
      <c r="I23" s="33"/>
      <c r="J23" s="33" t="n">
        <v>73050</v>
      </c>
      <c r="K23" s="32" t="s">
        <v>71</v>
      </c>
      <c r="L23" s="32" t="s">
        <v>70</v>
      </c>
    </row>
    <row r="24" customFormat="false" ht="15" hidden="false" customHeight="false" outlineLevel="0" collapsed="false">
      <c r="A24" s="0" t="s">
        <v>41</v>
      </c>
      <c r="B24" s="0" t="s">
        <v>81</v>
      </c>
      <c r="C24" s="0" t="s">
        <v>79</v>
      </c>
      <c r="D24" s="0" t="n">
        <v>22</v>
      </c>
      <c r="E24" s="31" t="n">
        <v>0</v>
      </c>
      <c r="F24" s="32" t="s">
        <v>74</v>
      </c>
      <c r="G24" s="32" t="s">
        <v>77</v>
      </c>
      <c r="H24" s="33" t="n">
        <v>45587</v>
      </c>
      <c r="I24" s="33"/>
      <c r="J24" s="33" t="n">
        <v>73050</v>
      </c>
      <c r="K24" s="32" t="s">
        <v>71</v>
      </c>
      <c r="L24" s="32" t="s">
        <v>70</v>
      </c>
    </row>
    <row r="25" customFormat="false" ht="15" hidden="false" customHeight="false" outlineLevel="0" collapsed="false">
      <c r="A25" s="0" t="s">
        <v>41</v>
      </c>
      <c r="B25" s="0" t="s">
        <v>82</v>
      </c>
      <c r="C25" s="0" t="s">
        <v>68</v>
      </c>
      <c r="D25" s="0" t="n">
        <v>10</v>
      </c>
      <c r="E25" s="31" t="n">
        <v>490</v>
      </c>
      <c r="F25" s="32" t="s">
        <v>69</v>
      </c>
      <c r="G25" s="32" t="s">
        <v>70</v>
      </c>
      <c r="H25" s="33" t="n">
        <v>45624</v>
      </c>
      <c r="I25" s="33"/>
      <c r="J25" s="33" t="n">
        <v>73050</v>
      </c>
      <c r="K25" s="32" t="s">
        <v>71</v>
      </c>
      <c r="L25" s="32" t="s">
        <v>70</v>
      </c>
    </row>
    <row r="26" customFormat="false" ht="15" hidden="false" customHeight="false" outlineLevel="0" collapsed="false">
      <c r="A26" s="0" t="s">
        <v>55</v>
      </c>
      <c r="B26" s="0" t="s">
        <v>151</v>
      </c>
      <c r="C26" s="0" t="s">
        <v>79</v>
      </c>
      <c r="D26" s="0" t="n">
        <v>15</v>
      </c>
      <c r="E26" s="31" t="n">
        <v>285</v>
      </c>
      <c r="F26" s="32" t="s">
        <v>74</v>
      </c>
      <c r="G26" s="32" t="s">
        <v>70</v>
      </c>
      <c r="H26" s="33" t="n">
        <v>45131</v>
      </c>
      <c r="I26" s="33"/>
      <c r="J26" s="33" t="n">
        <v>73050</v>
      </c>
      <c r="K26" s="32" t="s">
        <v>71</v>
      </c>
      <c r="L26" s="32" t="s">
        <v>70</v>
      </c>
    </row>
    <row r="27" customFormat="false" ht="15" hidden="false" customHeight="false" outlineLevel="0" collapsed="false">
      <c r="A27" s="0" t="s">
        <v>55</v>
      </c>
      <c r="B27" s="0" t="s">
        <v>152</v>
      </c>
      <c r="C27" s="0" t="s">
        <v>73</v>
      </c>
      <c r="D27" s="0" t="n">
        <v>6</v>
      </c>
      <c r="E27" s="31" t="n">
        <v>1194</v>
      </c>
      <c r="F27" s="32" t="s">
        <v>69</v>
      </c>
      <c r="G27" s="32" t="s">
        <v>70</v>
      </c>
      <c r="H27" s="33" t="n">
        <v>45173</v>
      </c>
      <c r="I27" s="33"/>
      <c r="J27" s="33" t="n">
        <v>73050</v>
      </c>
      <c r="K27" s="32" t="s">
        <v>71</v>
      </c>
      <c r="L27" s="32" t="s">
        <v>70</v>
      </c>
    </row>
    <row r="28" customFormat="false" ht="15" hidden="false" customHeight="false" outlineLevel="0" collapsed="false">
      <c r="A28" s="0" t="s">
        <v>55</v>
      </c>
      <c r="B28" s="0" t="s">
        <v>153</v>
      </c>
      <c r="C28" s="0" t="s">
        <v>79</v>
      </c>
      <c r="D28" s="0" t="n">
        <v>35</v>
      </c>
      <c r="E28" s="31" t="n">
        <v>665</v>
      </c>
      <c r="F28" s="32" t="s">
        <v>74</v>
      </c>
      <c r="G28" s="32" t="s">
        <v>70</v>
      </c>
      <c r="H28" s="33" t="n">
        <v>45176</v>
      </c>
      <c r="I28" s="33" t="n">
        <v>45333</v>
      </c>
      <c r="J28" s="33" t="n">
        <v>45333</v>
      </c>
      <c r="K28" s="32" t="s">
        <v>89</v>
      </c>
      <c r="L28" s="32" t="s">
        <v>70</v>
      </c>
    </row>
    <row r="29" customFormat="false" ht="15" hidden="false" customHeight="false" outlineLevel="0" collapsed="false">
      <c r="A29" s="0" t="s">
        <v>55</v>
      </c>
      <c r="B29" s="0" t="s">
        <v>154</v>
      </c>
      <c r="C29" s="0" t="s">
        <v>73</v>
      </c>
      <c r="D29" s="0" t="n">
        <v>10</v>
      </c>
      <c r="E29" s="31" t="n">
        <v>1990</v>
      </c>
      <c r="F29" s="32" t="s">
        <v>69</v>
      </c>
      <c r="G29" s="32" t="s">
        <v>70</v>
      </c>
      <c r="H29" s="33" t="n">
        <v>45277</v>
      </c>
      <c r="I29" s="33"/>
      <c r="J29" s="33" t="n">
        <v>73050</v>
      </c>
      <c r="K29" s="32" t="s">
        <v>71</v>
      </c>
      <c r="L29" s="32" t="s">
        <v>70</v>
      </c>
    </row>
    <row r="30" customFormat="false" ht="15" hidden="false" customHeight="false" outlineLevel="0" collapsed="false">
      <c r="A30" s="0" t="s">
        <v>55</v>
      </c>
      <c r="B30" s="0" t="s">
        <v>155</v>
      </c>
      <c r="C30" s="0" t="s">
        <v>73</v>
      </c>
      <c r="D30" s="0" t="n">
        <v>22</v>
      </c>
      <c r="E30" s="31" t="n">
        <v>4378</v>
      </c>
      <c r="F30" s="32" t="s">
        <v>74</v>
      </c>
      <c r="G30" s="32" t="s">
        <v>70</v>
      </c>
      <c r="H30" s="33" t="n">
        <v>45323</v>
      </c>
      <c r="I30" s="33" t="n">
        <v>45523</v>
      </c>
      <c r="J30" s="33" t="n">
        <v>45523</v>
      </c>
      <c r="K30" s="32" t="s">
        <v>75</v>
      </c>
      <c r="L30" s="32" t="s">
        <v>77</v>
      </c>
    </row>
    <row r="31" customFormat="false" ht="15" hidden="false" customHeight="false" outlineLevel="0" collapsed="false">
      <c r="A31" s="0" t="s">
        <v>55</v>
      </c>
      <c r="B31" s="0" t="s">
        <v>156</v>
      </c>
      <c r="C31" s="0" t="s">
        <v>79</v>
      </c>
      <c r="D31" s="0" t="n">
        <v>11</v>
      </c>
      <c r="E31" s="31" t="n">
        <v>209</v>
      </c>
      <c r="F31" s="32" t="s">
        <v>69</v>
      </c>
      <c r="G31" s="32" t="s">
        <v>70</v>
      </c>
      <c r="H31" s="33" t="n">
        <v>45332</v>
      </c>
      <c r="I31" s="33"/>
      <c r="J31" s="33" t="n">
        <v>73050</v>
      </c>
      <c r="K31" s="32" t="s">
        <v>71</v>
      </c>
      <c r="L31" s="32" t="s">
        <v>70</v>
      </c>
    </row>
    <row r="32" customFormat="false" ht="15" hidden="false" customHeight="false" outlineLevel="0" collapsed="false">
      <c r="A32" s="0" t="s">
        <v>55</v>
      </c>
      <c r="B32" s="0" t="s">
        <v>157</v>
      </c>
      <c r="C32" s="0" t="s">
        <v>68</v>
      </c>
      <c r="D32" s="0" t="n">
        <v>13</v>
      </c>
      <c r="E32" s="31" t="n">
        <v>0</v>
      </c>
      <c r="F32" s="32" t="s">
        <v>74</v>
      </c>
      <c r="G32" s="32" t="s">
        <v>77</v>
      </c>
      <c r="H32" s="33" t="n">
        <v>45375</v>
      </c>
      <c r="I32" s="33"/>
      <c r="J32" s="33" t="n">
        <v>73050</v>
      </c>
      <c r="K32" s="32" t="s">
        <v>71</v>
      </c>
      <c r="L32" s="32" t="s">
        <v>70</v>
      </c>
    </row>
    <row r="33" customFormat="false" ht="15" hidden="false" customHeight="false" outlineLevel="0" collapsed="false">
      <c r="A33" s="0" t="s">
        <v>49</v>
      </c>
      <c r="B33" s="0" t="s">
        <v>117</v>
      </c>
      <c r="C33" s="0" t="s">
        <v>79</v>
      </c>
      <c r="D33" s="0" t="n">
        <v>86</v>
      </c>
      <c r="E33" s="31" t="n">
        <v>1634</v>
      </c>
      <c r="F33" s="32" t="s">
        <v>69</v>
      </c>
      <c r="G33" s="32" t="s">
        <v>70</v>
      </c>
      <c r="H33" s="33" t="n">
        <v>45444</v>
      </c>
      <c r="I33" s="33"/>
      <c r="J33" s="33" t="n">
        <v>73050</v>
      </c>
      <c r="K33" s="32" t="s">
        <v>71</v>
      </c>
      <c r="L33" s="32" t="s">
        <v>70</v>
      </c>
    </row>
    <row r="34" customFormat="false" ht="15" hidden="false" customHeight="false" outlineLevel="0" collapsed="false">
      <c r="A34" s="0" t="s">
        <v>49</v>
      </c>
      <c r="B34" s="0" t="s">
        <v>118</v>
      </c>
      <c r="C34" s="0" t="s">
        <v>79</v>
      </c>
      <c r="D34" s="0" t="n">
        <v>86</v>
      </c>
      <c r="E34" s="31" t="n">
        <v>0</v>
      </c>
      <c r="F34" s="32" t="s">
        <v>74</v>
      </c>
      <c r="G34" s="32" t="s">
        <v>77</v>
      </c>
      <c r="H34" s="33" t="n">
        <v>45452</v>
      </c>
      <c r="I34" s="33"/>
      <c r="J34" s="33" t="n">
        <v>73050</v>
      </c>
      <c r="K34" s="32" t="s">
        <v>71</v>
      </c>
      <c r="L34" s="32" t="s">
        <v>70</v>
      </c>
    </row>
    <row r="35" customFormat="false" ht="15" hidden="false" customHeight="false" outlineLevel="0" collapsed="false">
      <c r="A35" s="0" t="s">
        <v>49</v>
      </c>
      <c r="B35" s="0" t="s">
        <v>119</v>
      </c>
      <c r="C35" s="0" t="s">
        <v>79</v>
      </c>
      <c r="D35" s="0" t="n">
        <v>86</v>
      </c>
      <c r="E35" s="31" t="n">
        <v>1634</v>
      </c>
      <c r="F35" s="32" t="s">
        <v>74</v>
      </c>
      <c r="G35" s="32" t="s">
        <v>70</v>
      </c>
      <c r="H35" s="33" t="n">
        <v>45480</v>
      </c>
      <c r="I35" s="33"/>
      <c r="J35" s="33" t="n">
        <v>73050</v>
      </c>
      <c r="K35" s="32" t="s">
        <v>71</v>
      </c>
      <c r="L35" s="32" t="s">
        <v>70</v>
      </c>
    </row>
    <row r="36" customFormat="false" ht="15" hidden="false" customHeight="false" outlineLevel="0" collapsed="false">
      <c r="A36" s="0" t="s">
        <v>49</v>
      </c>
      <c r="B36" s="0" t="s">
        <v>120</v>
      </c>
      <c r="C36" s="0" t="s">
        <v>79</v>
      </c>
      <c r="D36" s="0" t="n">
        <v>86</v>
      </c>
      <c r="E36" s="31" t="n">
        <v>1634</v>
      </c>
      <c r="F36" s="32" t="s">
        <v>69</v>
      </c>
      <c r="G36" s="32" t="s">
        <v>70</v>
      </c>
      <c r="H36" s="33" t="n">
        <v>45523</v>
      </c>
      <c r="I36" s="33"/>
      <c r="J36" s="33" t="n">
        <v>73050</v>
      </c>
      <c r="K36" s="32" t="s">
        <v>71</v>
      </c>
      <c r="L36" s="32" t="s">
        <v>70</v>
      </c>
    </row>
    <row r="37" customFormat="false" ht="15" hidden="false" customHeight="false" outlineLevel="0" collapsed="false">
      <c r="A37" s="0" t="s">
        <v>49</v>
      </c>
      <c r="B37" s="0" t="s">
        <v>121</v>
      </c>
      <c r="C37" s="0" t="s">
        <v>73</v>
      </c>
      <c r="D37" s="0" t="n">
        <v>86</v>
      </c>
      <c r="E37" s="31" t="n">
        <v>17114</v>
      </c>
      <c r="F37" s="32" t="s">
        <v>69</v>
      </c>
      <c r="G37" s="32" t="s">
        <v>70</v>
      </c>
      <c r="H37" s="33" t="n">
        <v>45623</v>
      </c>
      <c r="I37" s="33" t="n">
        <v>45654</v>
      </c>
      <c r="J37" s="33" t="n">
        <v>45654</v>
      </c>
      <c r="K37" s="32" t="s">
        <v>75</v>
      </c>
      <c r="L37" s="32" t="s">
        <v>77</v>
      </c>
    </row>
    <row r="38" customFormat="false" ht="15" hidden="false" customHeight="false" outlineLevel="0" collapsed="false">
      <c r="A38" s="0" t="s">
        <v>49</v>
      </c>
      <c r="B38" s="0" t="s">
        <v>122</v>
      </c>
      <c r="C38" s="0" t="s">
        <v>68</v>
      </c>
      <c r="D38" s="0" t="n">
        <v>86</v>
      </c>
      <c r="E38" s="31" t="n">
        <v>4214</v>
      </c>
      <c r="F38" s="32" t="s">
        <v>74</v>
      </c>
      <c r="G38" s="32" t="s">
        <v>70</v>
      </c>
      <c r="H38" s="33" t="n">
        <v>45628</v>
      </c>
      <c r="I38" s="33"/>
      <c r="J38" s="33" t="n">
        <v>73050</v>
      </c>
      <c r="K38" s="32" t="s">
        <v>71</v>
      </c>
      <c r="L38" s="32" t="s">
        <v>70</v>
      </c>
    </row>
    <row r="39" customFormat="false" ht="15" hidden="false" customHeight="false" outlineLevel="0" collapsed="false">
      <c r="A39" s="0" t="s">
        <v>49</v>
      </c>
      <c r="B39" s="0" t="s">
        <v>123</v>
      </c>
      <c r="C39" s="0" t="s">
        <v>73</v>
      </c>
      <c r="D39" s="0" t="n">
        <v>86</v>
      </c>
      <c r="E39" s="31" t="n">
        <v>0</v>
      </c>
      <c r="F39" s="32" t="s">
        <v>74</v>
      </c>
      <c r="G39" s="32" t="s">
        <v>77</v>
      </c>
      <c r="H39" s="33" t="n">
        <v>45639</v>
      </c>
      <c r="I39" s="33"/>
      <c r="J39" s="33" t="n">
        <v>73050</v>
      </c>
      <c r="K39" s="32" t="s">
        <v>71</v>
      </c>
      <c r="L39" s="32" t="s">
        <v>70</v>
      </c>
    </row>
    <row r="40" customFormat="false" ht="15" hidden="false" customHeight="false" outlineLevel="0" collapsed="false">
      <c r="A40" s="0" t="s">
        <v>51</v>
      </c>
      <c r="B40" s="0" t="s">
        <v>125</v>
      </c>
      <c r="C40" s="0" t="s">
        <v>68</v>
      </c>
      <c r="D40" s="0" t="n">
        <v>17</v>
      </c>
      <c r="E40" s="31" t="n">
        <v>833</v>
      </c>
      <c r="F40" s="32" t="s">
        <v>69</v>
      </c>
      <c r="G40" s="32" t="s">
        <v>70</v>
      </c>
      <c r="H40" s="33" t="n">
        <v>45495</v>
      </c>
      <c r="I40" s="33"/>
      <c r="J40" s="33" t="n">
        <v>73050</v>
      </c>
      <c r="K40" s="32" t="s">
        <v>71</v>
      </c>
      <c r="L40" s="32" t="s">
        <v>70</v>
      </c>
    </row>
    <row r="41" customFormat="false" ht="15" hidden="false" customHeight="false" outlineLevel="0" collapsed="false">
      <c r="A41" s="0" t="s">
        <v>51</v>
      </c>
      <c r="B41" s="0" t="s">
        <v>126</v>
      </c>
      <c r="C41" s="0" t="s">
        <v>68</v>
      </c>
      <c r="D41" s="0" t="n">
        <v>10</v>
      </c>
      <c r="E41" s="31" t="n">
        <v>490</v>
      </c>
      <c r="F41" s="32" t="s">
        <v>69</v>
      </c>
      <c r="G41" s="32" t="s">
        <v>70</v>
      </c>
      <c r="H41" s="33" t="n">
        <v>45518</v>
      </c>
      <c r="I41" s="33"/>
      <c r="J41" s="33" t="n">
        <v>73050</v>
      </c>
      <c r="K41" s="32" t="s">
        <v>71</v>
      </c>
      <c r="L41" s="32" t="s">
        <v>70</v>
      </c>
    </row>
    <row r="42" customFormat="false" ht="15" hidden="false" customHeight="false" outlineLevel="0" collapsed="false">
      <c r="A42" s="0" t="s">
        <v>51</v>
      </c>
      <c r="B42" s="0" t="s">
        <v>127</v>
      </c>
      <c r="C42" s="0" t="s">
        <v>73</v>
      </c>
      <c r="D42" s="0" t="n">
        <v>31</v>
      </c>
      <c r="E42" s="31" t="n">
        <v>6169</v>
      </c>
      <c r="F42" s="32" t="s">
        <v>74</v>
      </c>
      <c r="G42" s="32" t="s">
        <v>70</v>
      </c>
      <c r="H42" s="33" t="n">
        <v>45526</v>
      </c>
      <c r="I42" s="33" t="n">
        <v>45563</v>
      </c>
      <c r="J42" s="33" t="n">
        <v>45563</v>
      </c>
      <c r="K42" s="32" t="s">
        <v>75</v>
      </c>
      <c r="L42" s="32" t="s">
        <v>77</v>
      </c>
    </row>
    <row r="43" customFormat="false" ht="15" hidden="false" customHeight="false" outlineLevel="0" collapsed="false">
      <c r="A43" s="0" t="s">
        <v>51</v>
      </c>
      <c r="B43" s="0" t="s">
        <v>128</v>
      </c>
      <c r="C43" s="0" t="s">
        <v>73</v>
      </c>
      <c r="D43" s="0" t="n">
        <v>10</v>
      </c>
      <c r="E43" s="31" t="n">
        <v>1990</v>
      </c>
      <c r="F43" s="32" t="s">
        <v>69</v>
      </c>
      <c r="G43" s="32" t="s">
        <v>70</v>
      </c>
      <c r="H43" s="33" t="n">
        <v>45531</v>
      </c>
      <c r="I43" s="33" t="n">
        <v>45637</v>
      </c>
      <c r="J43" s="33" t="n">
        <v>45637</v>
      </c>
      <c r="K43" s="32" t="s">
        <v>89</v>
      </c>
      <c r="L43" s="32" t="s">
        <v>70</v>
      </c>
    </row>
    <row r="44" customFormat="false" ht="15" hidden="false" customHeight="false" outlineLevel="0" collapsed="false">
      <c r="A44" s="0" t="s">
        <v>51</v>
      </c>
      <c r="B44" s="0" t="s">
        <v>129</v>
      </c>
      <c r="C44" s="0" t="s">
        <v>79</v>
      </c>
      <c r="D44" s="0" t="n">
        <v>17</v>
      </c>
      <c r="E44" s="31" t="n">
        <v>323</v>
      </c>
      <c r="F44" s="32" t="s">
        <v>69</v>
      </c>
      <c r="G44" s="32" t="s">
        <v>70</v>
      </c>
      <c r="H44" s="33" t="n">
        <v>45590</v>
      </c>
      <c r="I44" s="33"/>
      <c r="J44" s="33" t="n">
        <v>73050</v>
      </c>
      <c r="K44" s="32" t="s">
        <v>71</v>
      </c>
      <c r="L44" s="32" t="s">
        <v>70</v>
      </c>
    </row>
    <row r="45" customFormat="false" ht="15" hidden="false" customHeight="false" outlineLevel="0" collapsed="false">
      <c r="A45" s="0" t="s">
        <v>51</v>
      </c>
      <c r="B45" s="0" t="s">
        <v>130</v>
      </c>
      <c r="C45" s="0" t="s">
        <v>79</v>
      </c>
      <c r="D45" s="0" t="n">
        <v>10</v>
      </c>
      <c r="E45" s="31" t="n">
        <v>190</v>
      </c>
      <c r="F45" s="32" t="s">
        <v>74</v>
      </c>
      <c r="G45" s="32" t="s">
        <v>70</v>
      </c>
      <c r="H45" s="33" t="n">
        <v>45593</v>
      </c>
      <c r="I45" s="33"/>
      <c r="J45" s="33" t="n">
        <v>73050</v>
      </c>
      <c r="K45" s="32" t="s">
        <v>71</v>
      </c>
      <c r="L45" s="32" t="s">
        <v>70</v>
      </c>
    </row>
    <row r="46" customFormat="false" ht="15" hidden="false" customHeight="false" outlineLevel="0" collapsed="false">
      <c r="A46" s="0" t="s">
        <v>51</v>
      </c>
      <c r="B46" s="0" t="s">
        <v>131</v>
      </c>
      <c r="C46" s="0" t="s">
        <v>73</v>
      </c>
      <c r="D46" s="0" t="n">
        <v>16</v>
      </c>
      <c r="E46" s="31" t="n">
        <v>3184</v>
      </c>
      <c r="F46" s="32" t="s">
        <v>74</v>
      </c>
      <c r="G46" s="32" t="s">
        <v>70</v>
      </c>
      <c r="H46" s="33" t="n">
        <v>45605</v>
      </c>
      <c r="I46" s="33"/>
      <c r="J46" s="33" t="n">
        <v>73050</v>
      </c>
      <c r="K46" s="32" t="s">
        <v>71</v>
      </c>
      <c r="L46" s="32" t="s">
        <v>70</v>
      </c>
    </row>
    <row r="47" customFormat="false" ht="15" hidden="false" customHeight="false" outlineLevel="0" collapsed="false">
      <c r="A47" s="0" t="s">
        <v>51</v>
      </c>
      <c r="B47" s="0" t="s">
        <v>132</v>
      </c>
      <c r="C47" s="0" t="s">
        <v>68</v>
      </c>
      <c r="D47" s="0" t="n">
        <v>21</v>
      </c>
      <c r="E47" s="31" t="n">
        <v>1029</v>
      </c>
      <c r="F47" s="32" t="s">
        <v>74</v>
      </c>
      <c r="G47" s="32" t="s">
        <v>70</v>
      </c>
      <c r="H47" s="33" t="n">
        <v>45623</v>
      </c>
      <c r="I47" s="33"/>
      <c r="J47" s="33" t="n">
        <v>73050</v>
      </c>
      <c r="K47" s="32" t="s">
        <v>71</v>
      </c>
      <c r="L47" s="32" t="s">
        <v>70</v>
      </c>
    </row>
    <row r="48" customFormat="false" ht="15" hidden="false" customHeight="false" outlineLevel="0" collapsed="false">
      <c r="A48" s="0" t="s">
        <v>51</v>
      </c>
      <c r="B48" s="0" t="s">
        <v>133</v>
      </c>
      <c r="C48" s="0" t="s">
        <v>73</v>
      </c>
      <c r="D48" s="0" t="n">
        <v>21</v>
      </c>
      <c r="E48" s="31" t="n">
        <v>4179</v>
      </c>
      <c r="F48" s="32" t="s">
        <v>69</v>
      </c>
      <c r="G48" s="32" t="s">
        <v>70</v>
      </c>
      <c r="H48" s="33" t="n">
        <v>45635</v>
      </c>
      <c r="I48" s="33"/>
      <c r="J48" s="33" t="n">
        <v>73050</v>
      </c>
      <c r="K48" s="32" t="s">
        <v>71</v>
      </c>
      <c r="L48" s="32" t="s">
        <v>70</v>
      </c>
    </row>
    <row r="49" customFormat="false" ht="15" hidden="false" customHeight="false" outlineLevel="0" collapsed="false">
      <c r="A49" s="0" t="s">
        <v>51</v>
      </c>
      <c r="B49" s="0" t="s">
        <v>134</v>
      </c>
      <c r="C49" s="0" t="s">
        <v>79</v>
      </c>
      <c r="D49" s="0" t="n">
        <v>51</v>
      </c>
      <c r="E49" s="31" t="n">
        <v>0</v>
      </c>
      <c r="F49" s="32" t="s">
        <v>74</v>
      </c>
      <c r="G49" s="32" t="s">
        <v>77</v>
      </c>
      <c r="H49" s="33" t="n">
        <v>45636</v>
      </c>
      <c r="I49" s="33"/>
      <c r="J49" s="33" t="n">
        <v>73050</v>
      </c>
      <c r="K49" s="32" t="s">
        <v>71</v>
      </c>
      <c r="L49" s="32" t="s">
        <v>70</v>
      </c>
    </row>
    <row r="50" customFormat="false" ht="15" hidden="false" customHeight="false" outlineLevel="0" collapsed="false">
      <c r="A50" s="0" t="s">
        <v>51</v>
      </c>
      <c r="B50" s="0" t="s">
        <v>135</v>
      </c>
      <c r="C50" s="0" t="s">
        <v>73</v>
      </c>
      <c r="D50" s="0" t="n">
        <v>17</v>
      </c>
      <c r="E50" s="31" t="n">
        <v>3383</v>
      </c>
      <c r="F50" s="32" t="s">
        <v>74</v>
      </c>
      <c r="G50" s="32" t="s">
        <v>70</v>
      </c>
      <c r="H50" s="33" t="n">
        <v>45639</v>
      </c>
      <c r="I50" s="33"/>
      <c r="J50" s="33" t="n">
        <v>73050</v>
      </c>
      <c r="K50" s="32" t="s">
        <v>71</v>
      </c>
      <c r="L50" s="32" t="s">
        <v>70</v>
      </c>
    </row>
    <row r="51" customFormat="false" ht="15" hidden="false" customHeight="false" outlineLevel="0" collapsed="false">
      <c r="A51" s="0" t="s">
        <v>53</v>
      </c>
      <c r="B51" s="0" t="s">
        <v>137</v>
      </c>
      <c r="C51" s="0" t="s">
        <v>79</v>
      </c>
      <c r="D51" s="0" t="n">
        <v>8</v>
      </c>
      <c r="E51" s="31" t="n">
        <v>152</v>
      </c>
      <c r="F51" s="32" t="s">
        <v>74</v>
      </c>
      <c r="G51" s="32" t="s">
        <v>70</v>
      </c>
      <c r="H51" s="33" t="n">
        <v>45289</v>
      </c>
      <c r="I51" s="33"/>
      <c r="J51" s="33" t="n">
        <v>73050</v>
      </c>
      <c r="K51" s="32" t="s">
        <v>71</v>
      </c>
      <c r="L51" s="32" t="s">
        <v>70</v>
      </c>
    </row>
    <row r="52" customFormat="false" ht="15" hidden="false" customHeight="false" outlineLevel="0" collapsed="false">
      <c r="A52" s="0" t="s">
        <v>53</v>
      </c>
      <c r="B52" s="0" t="s">
        <v>138</v>
      </c>
      <c r="C52" s="0" t="s">
        <v>68</v>
      </c>
      <c r="D52" s="0" t="n">
        <v>5</v>
      </c>
      <c r="E52" s="31" t="n">
        <v>245</v>
      </c>
      <c r="F52" s="32" t="s">
        <v>74</v>
      </c>
      <c r="G52" s="32" t="s">
        <v>70</v>
      </c>
      <c r="H52" s="33" t="n">
        <v>45323</v>
      </c>
      <c r="I52" s="33"/>
      <c r="J52" s="33" t="n">
        <v>73050</v>
      </c>
      <c r="K52" s="32" t="s">
        <v>71</v>
      </c>
      <c r="L52" s="32" t="s">
        <v>70</v>
      </c>
    </row>
    <row r="53" customFormat="false" ht="15" hidden="false" customHeight="false" outlineLevel="0" collapsed="false">
      <c r="A53" s="0" t="s">
        <v>53</v>
      </c>
      <c r="B53" s="0" t="s">
        <v>139</v>
      </c>
      <c r="C53" s="0" t="s">
        <v>68</v>
      </c>
      <c r="D53" s="0" t="n">
        <v>7</v>
      </c>
      <c r="E53" s="31" t="n">
        <v>343</v>
      </c>
      <c r="F53" s="32" t="s">
        <v>74</v>
      </c>
      <c r="G53" s="32" t="s">
        <v>70</v>
      </c>
      <c r="H53" s="33" t="n">
        <v>45335</v>
      </c>
      <c r="I53" s="33"/>
      <c r="J53" s="33" t="n">
        <v>73050</v>
      </c>
      <c r="K53" s="32" t="s">
        <v>71</v>
      </c>
      <c r="L53" s="32" t="s">
        <v>70</v>
      </c>
    </row>
    <row r="54" customFormat="false" ht="15" hidden="false" customHeight="false" outlineLevel="0" collapsed="false">
      <c r="A54" s="0" t="s">
        <v>53</v>
      </c>
      <c r="B54" s="0" t="s">
        <v>140</v>
      </c>
      <c r="C54" s="0" t="s">
        <v>79</v>
      </c>
      <c r="D54" s="0" t="n">
        <v>12</v>
      </c>
      <c r="E54" s="31" t="n">
        <v>228</v>
      </c>
      <c r="F54" s="32" t="s">
        <v>69</v>
      </c>
      <c r="G54" s="32" t="s">
        <v>70</v>
      </c>
      <c r="H54" s="33" t="n">
        <v>45391</v>
      </c>
      <c r="I54" s="33"/>
      <c r="J54" s="33" t="n">
        <v>73050</v>
      </c>
      <c r="K54" s="32" t="s">
        <v>71</v>
      </c>
      <c r="L54" s="32" t="s">
        <v>70</v>
      </c>
    </row>
    <row r="55" customFormat="false" ht="15" hidden="false" customHeight="false" outlineLevel="0" collapsed="false">
      <c r="A55" s="0" t="s">
        <v>53</v>
      </c>
      <c r="B55" s="0" t="s">
        <v>141</v>
      </c>
      <c r="C55" s="0" t="s">
        <v>73</v>
      </c>
      <c r="D55" s="0" t="n">
        <v>9</v>
      </c>
      <c r="E55" s="31" t="n">
        <v>1791</v>
      </c>
      <c r="F55" s="32" t="s">
        <v>69</v>
      </c>
      <c r="G55" s="32" t="s">
        <v>70</v>
      </c>
      <c r="H55" s="33" t="n">
        <v>45438</v>
      </c>
      <c r="I55" s="33"/>
      <c r="J55" s="33" t="n">
        <v>73050</v>
      </c>
      <c r="K55" s="32" t="s">
        <v>71</v>
      </c>
      <c r="L55" s="32" t="s">
        <v>70</v>
      </c>
    </row>
    <row r="56" customFormat="false" ht="15" hidden="false" customHeight="false" outlineLevel="0" collapsed="false">
      <c r="A56" s="0" t="s">
        <v>53</v>
      </c>
      <c r="B56" s="0" t="s">
        <v>142</v>
      </c>
      <c r="C56" s="0" t="s">
        <v>79</v>
      </c>
      <c r="D56" s="0" t="n">
        <v>15</v>
      </c>
      <c r="E56" s="31" t="n">
        <v>0</v>
      </c>
      <c r="F56" s="32" t="s">
        <v>74</v>
      </c>
      <c r="G56" s="32" t="s">
        <v>77</v>
      </c>
      <c r="H56" s="33" t="n">
        <v>45478</v>
      </c>
      <c r="I56" s="33"/>
      <c r="J56" s="33" t="n">
        <v>73050</v>
      </c>
      <c r="K56" s="32" t="s">
        <v>71</v>
      </c>
      <c r="L56" s="32" t="s">
        <v>70</v>
      </c>
    </row>
    <row r="57" customFormat="false" ht="15" hidden="false" customHeight="false" outlineLevel="0" collapsed="false">
      <c r="A57" s="0" t="s">
        <v>53</v>
      </c>
      <c r="B57" s="0" t="s">
        <v>143</v>
      </c>
      <c r="C57" s="0" t="s">
        <v>79</v>
      </c>
      <c r="D57" s="0" t="n">
        <v>5</v>
      </c>
      <c r="E57" s="31" t="n">
        <v>95</v>
      </c>
      <c r="F57" s="32" t="s">
        <v>74</v>
      </c>
      <c r="G57" s="32" t="s">
        <v>70</v>
      </c>
      <c r="H57" s="33" t="n">
        <v>45504</v>
      </c>
      <c r="I57" s="33"/>
      <c r="J57" s="33" t="n">
        <v>73050</v>
      </c>
      <c r="K57" s="32" t="s">
        <v>71</v>
      </c>
      <c r="L57" s="32" t="s">
        <v>70</v>
      </c>
    </row>
    <row r="58" customFormat="false" ht="15" hidden="false" customHeight="false" outlineLevel="0" collapsed="false">
      <c r="A58" s="0" t="s">
        <v>53</v>
      </c>
      <c r="B58" s="0" t="s">
        <v>144</v>
      </c>
      <c r="C58" s="0" t="s">
        <v>68</v>
      </c>
      <c r="D58" s="0" t="n">
        <v>5</v>
      </c>
      <c r="E58" s="31" t="n">
        <v>0</v>
      </c>
      <c r="F58" s="32" t="s">
        <v>69</v>
      </c>
      <c r="G58" s="32" t="s">
        <v>77</v>
      </c>
      <c r="H58" s="33" t="n">
        <v>45508</v>
      </c>
      <c r="I58" s="33"/>
      <c r="J58" s="33" t="n">
        <v>73050</v>
      </c>
      <c r="K58" s="32" t="s">
        <v>71</v>
      </c>
      <c r="L58" s="32" t="s">
        <v>70</v>
      </c>
    </row>
    <row r="59" customFormat="false" ht="15" hidden="false" customHeight="false" outlineLevel="0" collapsed="false">
      <c r="A59" s="0" t="s">
        <v>53</v>
      </c>
      <c r="B59" s="0" t="s">
        <v>145</v>
      </c>
      <c r="C59" s="0" t="s">
        <v>68</v>
      </c>
      <c r="D59" s="0" t="n">
        <v>25</v>
      </c>
      <c r="E59" s="31" t="n">
        <v>0</v>
      </c>
      <c r="F59" s="32" t="s">
        <v>69</v>
      </c>
      <c r="G59" s="32" t="s">
        <v>77</v>
      </c>
      <c r="H59" s="33" t="n">
        <v>45542</v>
      </c>
      <c r="I59" s="33"/>
      <c r="J59" s="33" t="n">
        <v>73050</v>
      </c>
      <c r="K59" s="32" t="s">
        <v>71</v>
      </c>
      <c r="L59" s="32" t="s">
        <v>70</v>
      </c>
    </row>
    <row r="60" customFormat="false" ht="15" hidden="false" customHeight="false" outlineLevel="0" collapsed="false">
      <c r="A60" s="0" t="s">
        <v>53</v>
      </c>
      <c r="B60" s="0" t="s">
        <v>146</v>
      </c>
      <c r="C60" s="0" t="s">
        <v>79</v>
      </c>
      <c r="D60" s="0" t="n">
        <v>7</v>
      </c>
      <c r="E60" s="31" t="n">
        <v>133</v>
      </c>
      <c r="F60" s="32" t="s">
        <v>74</v>
      </c>
      <c r="G60" s="32" t="s">
        <v>70</v>
      </c>
      <c r="H60" s="33" t="n">
        <v>45571</v>
      </c>
      <c r="I60" s="33"/>
      <c r="J60" s="33" t="n">
        <v>73050</v>
      </c>
      <c r="K60" s="32" t="s">
        <v>71</v>
      </c>
      <c r="L60" s="32" t="s">
        <v>70</v>
      </c>
    </row>
    <row r="61" customFormat="false" ht="15" hidden="false" customHeight="false" outlineLevel="0" collapsed="false">
      <c r="A61" s="0" t="s">
        <v>53</v>
      </c>
      <c r="B61" s="0" t="s">
        <v>147</v>
      </c>
      <c r="C61" s="0" t="s">
        <v>68</v>
      </c>
      <c r="D61" s="0" t="n">
        <v>7</v>
      </c>
      <c r="E61" s="31" t="n">
        <v>343</v>
      </c>
      <c r="F61" s="32" t="s">
        <v>69</v>
      </c>
      <c r="G61" s="32" t="s">
        <v>70</v>
      </c>
      <c r="H61" s="33" t="n">
        <v>45612</v>
      </c>
      <c r="I61" s="33"/>
      <c r="J61" s="33" t="n">
        <v>73050</v>
      </c>
      <c r="K61" s="32" t="s">
        <v>71</v>
      </c>
      <c r="L61" s="32" t="s">
        <v>70</v>
      </c>
    </row>
    <row r="62" customFormat="false" ht="15" hidden="false" customHeight="false" outlineLevel="0" collapsed="false">
      <c r="A62" s="0" t="s">
        <v>53</v>
      </c>
      <c r="B62" s="0" t="s">
        <v>148</v>
      </c>
      <c r="C62" s="0" t="s">
        <v>73</v>
      </c>
      <c r="D62" s="0" t="n">
        <v>26</v>
      </c>
      <c r="E62" s="31" t="n">
        <v>5174</v>
      </c>
      <c r="F62" s="32" t="s">
        <v>69</v>
      </c>
      <c r="G62" s="32" t="s">
        <v>70</v>
      </c>
      <c r="H62" s="33" t="n">
        <v>45638</v>
      </c>
      <c r="I62" s="33" t="n">
        <v>45641</v>
      </c>
      <c r="J62" s="33" t="n">
        <v>45641</v>
      </c>
      <c r="K62" s="32" t="s">
        <v>149</v>
      </c>
      <c r="L62" s="32" t="s">
        <v>77</v>
      </c>
    </row>
    <row r="63" customFormat="false" ht="15" hidden="false" customHeight="false" outlineLevel="0" collapsed="false">
      <c r="A63" s="0" t="s">
        <v>47</v>
      </c>
      <c r="B63" s="0" t="s">
        <v>105</v>
      </c>
      <c r="C63" s="0" t="s">
        <v>73</v>
      </c>
      <c r="D63" s="0" t="n">
        <v>9</v>
      </c>
      <c r="E63" s="31" t="n">
        <v>1791</v>
      </c>
      <c r="F63" s="32" t="s">
        <v>69</v>
      </c>
      <c r="G63" s="32" t="s">
        <v>70</v>
      </c>
      <c r="H63" s="33" t="n">
        <v>45010</v>
      </c>
      <c r="I63" s="33"/>
      <c r="J63" s="33" t="n">
        <v>73050</v>
      </c>
      <c r="K63" s="32" t="s">
        <v>71</v>
      </c>
      <c r="L63" s="32" t="s">
        <v>70</v>
      </c>
    </row>
    <row r="64" customFormat="false" ht="15" hidden="false" customHeight="false" outlineLevel="0" collapsed="false">
      <c r="A64" s="0" t="s">
        <v>47</v>
      </c>
      <c r="B64" s="0" t="s">
        <v>106</v>
      </c>
      <c r="C64" s="0" t="s">
        <v>73</v>
      </c>
      <c r="D64" s="0" t="n">
        <v>14</v>
      </c>
      <c r="E64" s="31" t="n">
        <v>2786</v>
      </c>
      <c r="F64" s="32" t="s">
        <v>69</v>
      </c>
      <c r="G64" s="32" t="s">
        <v>70</v>
      </c>
      <c r="H64" s="33" t="n">
        <v>45026</v>
      </c>
      <c r="I64" s="33"/>
      <c r="J64" s="33" t="n">
        <v>73050</v>
      </c>
      <c r="K64" s="32" t="s">
        <v>71</v>
      </c>
      <c r="L64" s="32" t="s">
        <v>70</v>
      </c>
    </row>
    <row r="65" customFormat="false" ht="15" hidden="false" customHeight="false" outlineLevel="0" collapsed="false">
      <c r="A65" s="0" t="s">
        <v>47</v>
      </c>
      <c r="B65" s="0" t="s">
        <v>107</v>
      </c>
      <c r="C65" s="0" t="s">
        <v>73</v>
      </c>
      <c r="D65" s="0" t="n">
        <v>89</v>
      </c>
      <c r="E65" s="31" t="n">
        <v>17711</v>
      </c>
      <c r="F65" s="32" t="s">
        <v>69</v>
      </c>
      <c r="G65" s="32" t="s">
        <v>70</v>
      </c>
      <c r="H65" s="33" t="n">
        <v>45066</v>
      </c>
      <c r="I65" s="33" t="n">
        <v>45279</v>
      </c>
      <c r="J65" s="33" t="n">
        <v>45279</v>
      </c>
      <c r="K65" s="32" t="s">
        <v>75</v>
      </c>
      <c r="L65" s="32" t="s">
        <v>77</v>
      </c>
    </row>
    <row r="66" customFormat="false" ht="15" hidden="false" customHeight="false" outlineLevel="0" collapsed="false">
      <c r="A66" s="0" t="s">
        <v>47</v>
      </c>
      <c r="B66" s="0" t="s">
        <v>108</v>
      </c>
      <c r="C66" s="0" t="s">
        <v>73</v>
      </c>
      <c r="D66" s="0" t="n">
        <v>9</v>
      </c>
      <c r="E66" s="31" t="n">
        <v>1791</v>
      </c>
      <c r="F66" s="32" t="s">
        <v>69</v>
      </c>
      <c r="G66" s="32" t="s">
        <v>70</v>
      </c>
      <c r="H66" s="33" t="n">
        <v>45169</v>
      </c>
      <c r="I66" s="33"/>
      <c r="J66" s="33" t="n">
        <v>73050</v>
      </c>
      <c r="K66" s="32" t="s">
        <v>71</v>
      </c>
      <c r="L66" s="32" t="s">
        <v>70</v>
      </c>
    </row>
    <row r="67" customFormat="false" ht="15" hidden="false" customHeight="false" outlineLevel="0" collapsed="false">
      <c r="A67" s="0" t="s">
        <v>47</v>
      </c>
      <c r="B67" s="0" t="s">
        <v>109</v>
      </c>
      <c r="C67" s="0" t="s">
        <v>73</v>
      </c>
      <c r="D67" s="0" t="n">
        <v>9</v>
      </c>
      <c r="E67" s="31" t="n">
        <v>1791</v>
      </c>
      <c r="F67" s="32" t="s">
        <v>74</v>
      </c>
      <c r="G67" s="32" t="s">
        <v>70</v>
      </c>
      <c r="H67" s="33" t="n">
        <v>45216</v>
      </c>
      <c r="I67" s="33"/>
      <c r="J67" s="33" t="n">
        <v>73050</v>
      </c>
      <c r="K67" s="32" t="s">
        <v>71</v>
      </c>
      <c r="L67" s="32" t="s">
        <v>70</v>
      </c>
    </row>
    <row r="68" customFormat="false" ht="15" hidden="false" customHeight="false" outlineLevel="0" collapsed="false">
      <c r="A68" s="0" t="s">
        <v>47</v>
      </c>
      <c r="B68" s="0" t="s">
        <v>110</v>
      </c>
      <c r="C68" s="0" t="s">
        <v>73</v>
      </c>
      <c r="D68" s="0" t="n">
        <v>9</v>
      </c>
      <c r="E68" s="31" t="n">
        <v>1791</v>
      </c>
      <c r="F68" s="32" t="s">
        <v>74</v>
      </c>
      <c r="G68" s="32" t="s">
        <v>70</v>
      </c>
      <c r="H68" s="33" t="n">
        <v>45287</v>
      </c>
      <c r="I68" s="33" t="n">
        <v>45595</v>
      </c>
      <c r="J68" s="33" t="n">
        <v>45595</v>
      </c>
      <c r="K68" s="32" t="s">
        <v>75</v>
      </c>
      <c r="L68" s="32" t="s">
        <v>70</v>
      </c>
    </row>
    <row r="69" customFormat="false" ht="15" hidden="false" customHeight="false" outlineLevel="0" collapsed="false">
      <c r="A69" s="0" t="s">
        <v>47</v>
      </c>
      <c r="B69" s="0" t="s">
        <v>111</v>
      </c>
      <c r="C69" s="0" t="s">
        <v>68</v>
      </c>
      <c r="D69" s="0" t="n">
        <v>14</v>
      </c>
      <c r="E69" s="31" t="n">
        <v>686</v>
      </c>
      <c r="F69" s="32" t="s">
        <v>74</v>
      </c>
      <c r="G69" s="32" t="s">
        <v>70</v>
      </c>
      <c r="H69" s="33" t="n">
        <v>45460</v>
      </c>
      <c r="I69" s="33"/>
      <c r="J69" s="33" t="n">
        <v>73050</v>
      </c>
      <c r="K69" s="32" t="s">
        <v>71</v>
      </c>
      <c r="L69" s="32" t="s">
        <v>70</v>
      </c>
    </row>
    <row r="70" customFormat="false" ht="15" hidden="false" customHeight="false" outlineLevel="0" collapsed="false">
      <c r="A70" s="0" t="s">
        <v>47</v>
      </c>
      <c r="B70" s="0" t="s">
        <v>112</v>
      </c>
      <c r="C70" s="0" t="s">
        <v>68</v>
      </c>
      <c r="D70" s="0" t="n">
        <v>9</v>
      </c>
      <c r="E70" s="31" t="n">
        <v>441</v>
      </c>
      <c r="F70" s="32" t="s">
        <v>74</v>
      </c>
      <c r="G70" s="32" t="s">
        <v>70</v>
      </c>
      <c r="H70" s="33" t="n">
        <v>45465</v>
      </c>
      <c r="I70" s="33"/>
      <c r="J70" s="33" t="n">
        <v>73050</v>
      </c>
      <c r="K70" s="32" t="s">
        <v>71</v>
      </c>
      <c r="L70" s="32" t="s">
        <v>70</v>
      </c>
    </row>
    <row r="71" customFormat="false" ht="15" hidden="false" customHeight="false" outlineLevel="0" collapsed="false">
      <c r="A71" s="0" t="s">
        <v>47</v>
      </c>
      <c r="B71" s="0" t="s">
        <v>113</v>
      </c>
      <c r="C71" s="0" t="s">
        <v>73</v>
      </c>
      <c r="D71" s="0" t="n">
        <v>35</v>
      </c>
      <c r="E71" s="31" t="n">
        <v>0</v>
      </c>
      <c r="F71" s="32" t="s">
        <v>69</v>
      </c>
      <c r="G71" s="32" t="s">
        <v>77</v>
      </c>
      <c r="H71" s="33" t="n">
        <v>45473</v>
      </c>
      <c r="I71" s="33"/>
      <c r="J71" s="33" t="n">
        <v>73050</v>
      </c>
      <c r="K71" s="32" t="s">
        <v>71</v>
      </c>
      <c r="L71" s="32" t="s">
        <v>70</v>
      </c>
    </row>
    <row r="72" customFormat="false" ht="15" hidden="false" customHeight="false" outlineLevel="0" collapsed="false">
      <c r="A72" s="0" t="s">
        <v>47</v>
      </c>
      <c r="B72" s="0" t="s">
        <v>114</v>
      </c>
      <c r="C72" s="0" t="s">
        <v>79</v>
      </c>
      <c r="D72" s="0" t="n">
        <v>17</v>
      </c>
      <c r="E72" s="31" t="n">
        <v>0</v>
      </c>
      <c r="F72" s="32" t="s">
        <v>69</v>
      </c>
      <c r="G72" s="32" t="s">
        <v>77</v>
      </c>
      <c r="H72" s="33" t="n">
        <v>45636</v>
      </c>
      <c r="I72" s="33"/>
      <c r="J72" s="33" t="n">
        <v>73050</v>
      </c>
      <c r="K72" s="32" t="s">
        <v>71</v>
      </c>
      <c r="L72" s="32" t="s">
        <v>70</v>
      </c>
    </row>
    <row r="73" customFormat="false" ht="15" hidden="false" customHeight="false" outlineLevel="0" collapsed="false">
      <c r="A73" s="0" t="s">
        <v>47</v>
      </c>
      <c r="B73" s="0" t="s">
        <v>115</v>
      </c>
      <c r="C73" s="0" t="s">
        <v>79</v>
      </c>
      <c r="D73" s="0" t="n">
        <v>10</v>
      </c>
      <c r="E73" s="31" t="n">
        <v>0</v>
      </c>
      <c r="F73" s="32" t="s">
        <v>69</v>
      </c>
      <c r="G73" s="32" t="s">
        <v>77</v>
      </c>
      <c r="H73" s="33" t="n">
        <v>45639</v>
      </c>
      <c r="I73" s="33"/>
      <c r="J73" s="33" t="n">
        <v>73050</v>
      </c>
      <c r="K73" s="32" t="s">
        <v>71</v>
      </c>
      <c r="L73" s="3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9" min="14" style="0" width="11"/>
    <col collapsed="false" customWidth="true" hidden="false" outlineLevel="0" max="20" min="20" style="0" width="24"/>
  </cols>
  <sheetData>
    <row r="1" customFormat="false" ht="15" hidden="false" customHeight="false" outlineLevel="0" collapsed="false">
      <c r="A1" s="30" t="s">
        <v>198</v>
      </c>
      <c r="B1" s="30" t="s">
        <v>186</v>
      </c>
      <c r="C1" s="30" t="s">
        <v>199</v>
      </c>
      <c r="D1" s="30" t="s">
        <v>200</v>
      </c>
      <c r="E1" s="30" t="s">
        <v>201</v>
      </c>
      <c r="F1" s="30" t="s">
        <v>202</v>
      </c>
      <c r="G1" s="30" t="s">
        <v>187</v>
      </c>
      <c r="H1" s="30" t="s">
        <v>189</v>
      </c>
      <c r="I1" s="30" t="s">
        <v>191</v>
      </c>
      <c r="J1" s="30" t="s">
        <v>193</v>
      </c>
      <c r="K1" s="30" t="s">
        <v>194</v>
      </c>
      <c r="L1" s="30" t="s">
        <v>203</v>
      </c>
      <c r="M1" s="30" t="s">
        <v>204</v>
      </c>
      <c r="N1" s="30" t="s">
        <v>205</v>
      </c>
      <c r="O1" s="30" t="s">
        <v>206</v>
      </c>
      <c r="P1" s="30" t="s">
        <v>207</v>
      </c>
      <c r="Q1" s="30" t="s">
        <v>208</v>
      </c>
      <c r="R1" s="30" t="s">
        <v>209</v>
      </c>
      <c r="S1" s="30" t="s">
        <v>210</v>
      </c>
      <c r="T1" s="30" t="s">
        <v>211</v>
      </c>
    </row>
    <row r="2" customFormat="false" ht="15" hidden="false" customHeight="false" outlineLevel="0" collapsed="false">
      <c r="A2" s="0" t="n">
        <v>1</v>
      </c>
      <c r="B2" s="0" t="s">
        <v>41</v>
      </c>
      <c r="C2" s="0" t="s">
        <v>168</v>
      </c>
      <c r="D2" s="0" t="s">
        <v>184</v>
      </c>
      <c r="E2" s="0" t="s">
        <v>172</v>
      </c>
      <c r="F2" s="33" t="n">
        <v>45482</v>
      </c>
      <c r="G2" s="32" t="s">
        <v>72</v>
      </c>
      <c r="H2" s="0" t="n">
        <v>20</v>
      </c>
      <c r="I2" s="32" t="s">
        <v>74</v>
      </c>
      <c r="J2" s="33" t="n">
        <v>45505</v>
      </c>
      <c r="K2" s="33" t="n">
        <v>45518</v>
      </c>
      <c r="L2" s="0" t="n">
        <v>13</v>
      </c>
      <c r="M2" s="31" t="n">
        <v>3980</v>
      </c>
      <c r="N2" s="32" t="s">
        <v>212</v>
      </c>
      <c r="O2" s="32" t="s">
        <v>70</v>
      </c>
      <c r="P2" s="32" t="s">
        <v>213</v>
      </c>
      <c r="Q2" s="0" t="n">
        <v>1</v>
      </c>
      <c r="R2" s="32" t="s">
        <v>214</v>
      </c>
      <c r="S2" s="0" t="n">
        <v>3</v>
      </c>
      <c r="T2" s="0" t="n">
        <v>3</v>
      </c>
    </row>
    <row r="3" customFormat="false" ht="15" hidden="false" customHeight="false" outlineLevel="0" collapsed="false">
      <c r="A3" s="0" t="n">
        <v>2</v>
      </c>
      <c r="B3" s="0" t="s">
        <v>43</v>
      </c>
      <c r="C3" s="0" t="s">
        <v>168</v>
      </c>
      <c r="D3" s="0" t="s">
        <v>177</v>
      </c>
      <c r="E3" s="0" t="s">
        <v>173</v>
      </c>
      <c r="F3" s="33" t="n">
        <v>45221</v>
      </c>
      <c r="G3" s="32" t="s">
        <v>86</v>
      </c>
      <c r="H3" s="0" t="n">
        <v>40</v>
      </c>
      <c r="I3" s="32" t="s">
        <v>74</v>
      </c>
      <c r="J3" s="33" t="n">
        <v>45333</v>
      </c>
      <c r="K3" s="33" t="n">
        <v>45593</v>
      </c>
      <c r="L3" s="0" t="n">
        <v>260</v>
      </c>
      <c r="M3" s="31" t="n">
        <v>7960</v>
      </c>
      <c r="N3" s="32" t="s">
        <v>212</v>
      </c>
      <c r="O3" s="32" t="s">
        <v>70</v>
      </c>
      <c r="P3" s="32" t="s">
        <v>215</v>
      </c>
      <c r="Q3" s="0" t="n">
        <v>2</v>
      </c>
      <c r="R3" s="32" t="s">
        <v>216</v>
      </c>
      <c r="S3" s="0" t="n">
        <v>3</v>
      </c>
      <c r="T3" s="0" t="n">
        <v>1</v>
      </c>
    </row>
    <row r="4" customFormat="false" ht="15" hidden="false" customHeight="false" outlineLevel="0" collapsed="false">
      <c r="A4" s="0" t="n">
        <v>3</v>
      </c>
      <c r="B4" s="0" t="s">
        <v>45</v>
      </c>
      <c r="C4" s="0" t="s">
        <v>168</v>
      </c>
      <c r="D4" s="0" t="s">
        <v>183</v>
      </c>
      <c r="E4" s="0" t="s">
        <v>175</v>
      </c>
      <c r="F4" s="33" t="n">
        <v>45063</v>
      </c>
      <c r="G4" s="32" t="s">
        <v>96</v>
      </c>
      <c r="H4" s="0" t="n">
        <v>32</v>
      </c>
      <c r="I4" s="32" t="s">
        <v>74</v>
      </c>
      <c r="J4" s="33" t="n">
        <v>45156</v>
      </c>
      <c r="K4" s="33" t="n">
        <v>45231</v>
      </c>
      <c r="L4" s="0" t="n">
        <v>75</v>
      </c>
      <c r="M4" s="31" t="n">
        <v>6368</v>
      </c>
      <c r="N4" s="32" t="s">
        <v>217</v>
      </c>
      <c r="O4" s="32" t="s">
        <v>70</v>
      </c>
      <c r="P4" s="32" t="s">
        <v>213</v>
      </c>
      <c r="Q4" s="0" t="n">
        <v>4</v>
      </c>
      <c r="R4" s="32" t="s">
        <v>218</v>
      </c>
      <c r="S4" s="0" t="n">
        <v>5</v>
      </c>
      <c r="T4" s="0" t="n">
        <v>1</v>
      </c>
    </row>
    <row r="5" customFormat="false" ht="15" hidden="false" customHeight="false" outlineLevel="0" collapsed="false">
      <c r="A5" s="0" t="n">
        <v>4</v>
      </c>
      <c r="B5" s="0" t="s">
        <v>47</v>
      </c>
      <c r="C5" s="0" t="s">
        <v>166</v>
      </c>
      <c r="D5" s="0" t="s">
        <v>183</v>
      </c>
      <c r="E5" s="0" t="s">
        <v>173</v>
      </c>
      <c r="F5" s="33" t="n">
        <v>44970</v>
      </c>
      <c r="G5" s="32" t="s">
        <v>107</v>
      </c>
      <c r="H5" s="0" t="n">
        <v>89</v>
      </c>
      <c r="I5" s="32" t="s">
        <v>69</v>
      </c>
      <c r="J5" s="33" t="n">
        <v>45066</v>
      </c>
      <c r="K5" s="33" t="n">
        <v>45279</v>
      </c>
      <c r="L5" s="0" t="n">
        <v>213</v>
      </c>
      <c r="M5" s="31" t="n">
        <v>17711</v>
      </c>
      <c r="N5" s="32" t="s">
        <v>212</v>
      </c>
      <c r="O5" s="32" t="s">
        <v>70</v>
      </c>
      <c r="P5" s="32" t="s">
        <v>219</v>
      </c>
      <c r="Q5" s="0" t="n">
        <v>1</v>
      </c>
      <c r="R5" s="32" t="s">
        <v>220</v>
      </c>
      <c r="S5" s="0" t="n">
        <v>2</v>
      </c>
      <c r="T5" s="0" t="n">
        <v>0</v>
      </c>
    </row>
    <row r="6" customFormat="false" ht="15" hidden="false" customHeight="false" outlineLevel="0" collapsed="false">
      <c r="A6" s="0" t="n">
        <v>5</v>
      </c>
      <c r="B6" s="0" t="s">
        <v>49</v>
      </c>
      <c r="C6" s="0" t="s">
        <v>170</v>
      </c>
      <c r="D6" s="0" t="s">
        <v>182</v>
      </c>
      <c r="E6" s="0" t="s">
        <v>175</v>
      </c>
      <c r="F6" s="33" t="n">
        <v>45388</v>
      </c>
      <c r="G6" s="32" t="s">
        <v>121</v>
      </c>
      <c r="H6" s="0" t="n">
        <v>86</v>
      </c>
      <c r="I6" s="32" t="s">
        <v>69</v>
      </c>
      <c r="J6" s="33" t="n">
        <v>45623</v>
      </c>
      <c r="K6" s="33" t="n">
        <v>45654</v>
      </c>
      <c r="L6" s="0" t="n">
        <v>31</v>
      </c>
      <c r="M6" s="31" t="n">
        <v>17114</v>
      </c>
      <c r="N6" s="32" t="s">
        <v>212</v>
      </c>
      <c r="O6" s="32" t="s">
        <v>77</v>
      </c>
      <c r="P6" s="32" t="s">
        <v>219</v>
      </c>
      <c r="Q6" s="0" t="n">
        <v>1</v>
      </c>
      <c r="R6" s="32" t="s">
        <v>221</v>
      </c>
      <c r="S6" s="0" t="n">
        <v>1</v>
      </c>
      <c r="T6" s="0" t="n">
        <v>1</v>
      </c>
    </row>
    <row r="7" customFormat="false" ht="15" hidden="false" customHeight="false" outlineLevel="0" collapsed="false">
      <c r="A7" s="0" t="n">
        <v>6</v>
      </c>
      <c r="B7" s="0" t="s">
        <v>51</v>
      </c>
      <c r="C7" s="0" t="s">
        <v>170</v>
      </c>
      <c r="D7" s="0" t="s">
        <v>184</v>
      </c>
      <c r="E7" s="0" t="s">
        <v>173</v>
      </c>
      <c r="F7" s="33" t="n">
        <v>45470</v>
      </c>
      <c r="G7" s="32" t="s">
        <v>127</v>
      </c>
      <c r="H7" s="0" t="n">
        <v>31</v>
      </c>
      <c r="I7" s="32" t="s">
        <v>74</v>
      </c>
      <c r="J7" s="33" t="n">
        <v>45526</v>
      </c>
      <c r="K7" s="33" t="n">
        <v>45563</v>
      </c>
      <c r="L7" s="0" t="n">
        <v>37</v>
      </c>
      <c r="M7" s="31" t="n">
        <v>6169</v>
      </c>
      <c r="N7" s="32" t="s">
        <v>212</v>
      </c>
      <c r="O7" s="32" t="s">
        <v>70</v>
      </c>
      <c r="P7" s="32" t="s">
        <v>213</v>
      </c>
      <c r="Q7" s="0" t="n">
        <v>0</v>
      </c>
      <c r="R7" s="32" t="s">
        <v>222</v>
      </c>
      <c r="S7" s="0" t="n">
        <v>2</v>
      </c>
      <c r="T7" s="0" t="n">
        <v>2</v>
      </c>
    </row>
    <row r="8" customFormat="false" ht="15" hidden="false" customHeight="false" outlineLevel="0" collapsed="false">
      <c r="A8" s="0" t="n">
        <v>7</v>
      </c>
      <c r="B8" s="0" t="s">
        <v>53</v>
      </c>
      <c r="C8" s="0" t="s">
        <v>170</v>
      </c>
      <c r="D8" s="0" t="s">
        <v>183</v>
      </c>
      <c r="E8" s="0" t="s">
        <v>176</v>
      </c>
      <c r="F8" s="33" t="n">
        <v>45268</v>
      </c>
      <c r="G8" s="32" t="s">
        <v>148</v>
      </c>
      <c r="H8" s="0" t="n">
        <v>26</v>
      </c>
      <c r="I8" s="32" t="s">
        <v>69</v>
      </c>
      <c r="J8" s="33" t="n">
        <v>45638</v>
      </c>
      <c r="K8" s="33" t="n">
        <v>45641</v>
      </c>
      <c r="L8" s="0" t="n">
        <v>3</v>
      </c>
      <c r="M8" s="31" t="n">
        <v>5174</v>
      </c>
      <c r="N8" s="32" t="s">
        <v>223</v>
      </c>
      <c r="O8" s="32" t="s">
        <v>70</v>
      </c>
      <c r="P8" s="32" t="s">
        <v>224</v>
      </c>
      <c r="Q8" s="0" t="n">
        <v>1</v>
      </c>
      <c r="R8" s="32" t="s">
        <v>225</v>
      </c>
      <c r="S8" s="0" t="n">
        <v>3</v>
      </c>
      <c r="T8" s="0" t="n">
        <v>0</v>
      </c>
    </row>
    <row r="9" customFormat="false" ht="15" hidden="false" customHeight="false" outlineLevel="0" collapsed="false">
      <c r="A9" s="0" t="n">
        <v>8</v>
      </c>
      <c r="B9" s="0" t="s">
        <v>55</v>
      </c>
      <c r="C9" s="0" t="s">
        <v>170</v>
      </c>
      <c r="D9" s="0" t="s">
        <v>183</v>
      </c>
      <c r="E9" s="0" t="s">
        <v>172</v>
      </c>
      <c r="F9" s="33" t="n">
        <v>45022</v>
      </c>
      <c r="G9" s="32" t="s">
        <v>155</v>
      </c>
      <c r="H9" s="0" t="n">
        <v>22</v>
      </c>
      <c r="I9" s="32" t="s">
        <v>74</v>
      </c>
      <c r="J9" s="33" t="n">
        <v>45323</v>
      </c>
      <c r="K9" s="33" t="n">
        <v>45523</v>
      </c>
      <c r="L9" s="0" t="n">
        <v>200</v>
      </c>
      <c r="M9" s="31" t="n">
        <v>4378</v>
      </c>
      <c r="N9" s="32" t="s">
        <v>217</v>
      </c>
      <c r="O9" s="32" t="s">
        <v>70</v>
      </c>
      <c r="P9" s="32" t="s">
        <v>219</v>
      </c>
      <c r="Q9" s="0" t="n">
        <v>1</v>
      </c>
      <c r="R9" s="32" t="s">
        <v>225</v>
      </c>
      <c r="S9" s="0" t="n">
        <v>4</v>
      </c>
      <c r="T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2026-10-17T21:41:20Z</dcterms:created>
  <dc:creator>openpyxl</dc:creator>
  <dc:description/>
  <dc:language>en-US</dc:language>
  <cp:lastModifiedBy/>
  <dcterms:modified xsi:type="dcterms:W3CDTF">2026-10-17T21:41:20Z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