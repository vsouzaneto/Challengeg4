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1_Resumo_CEO" sheetId="2" state="visible" r:id="rId4"/>
    <sheet name="2_Quantidade" sheetId="3" state="visible" r:id="rId5"/>
    <sheet name="3_Valor_US$" sheetId="4" state="visible" r:id="rId6"/>
    <sheet name="4_Por_plano" sheetId="5" state="visible" r:id="rId7"/>
    <sheet name="Base_Encerrad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<sst xmlns="http://schemas.openxmlformats.org/spreadsheetml/2006/main" count="3265" uniqueCount="1095">
  <si>
    <t xml:space="preserve">PERDA REAL x "CHURN" CONTADO HOJE — por trimestre, em quantidade e em US$</t>
  </si>
  <si>
    <t xml:space="preserve">Planilha apartada. Lê os CSVs originais sem alterá-los. Base: tabela de assinaturas (a única coerente). Valores em MRR (receita mensal).</t>
  </si>
  <si>
    <t xml:space="preserve">COMO CADA ASSINATURA ENCERRADA FOI CLASSIFICADA</t>
  </si>
  <si>
    <t xml:space="preserve">• Migração (troca): a mesma conta abriu outra assinatura até 7 dias antes ou depois. NÃO é perda; em US$, só a diferença entre a encerrada e a nova conta.</t>
  </si>
  <si>
    <t xml:space="preserve">• Compra extra desfeita: a assinatura durou até 30 dias e a conta já tinha outra assinatura MAIS ANTIGA do mesmo plano ativa. A conta desfez uma compra a mais e voltou ao que pagava antes. NÃO é perda.</t>
  </si>
  <si>
    <t xml:space="preserve">• Redução real: a conta desligou uma assinatura (sem troca e sem ser compra extra recente) e continuou cliente. É perda de receita.</t>
  </si>
  <si>
    <t xml:space="preserve">• Saída do cliente: a conta ficou sem nenhuma assinatura ativa. É perda (só 4 casos em 24 meses, e todos voltaram depois).</t>
  </si>
  <si>
    <t xml:space="preserve">• Por que assinaturas "gêmeas" (mesmo plano e mesmos seats) com mais de 30 dias continuam como perda: na base, quase metade das assinaturas ativas tem uma gêmea; ter uma igual não prova troca.</t>
  </si>
  <si>
    <t xml:space="preserve">RESULTADO EM 24 MESES (jan/23–dez/24)</t>
  </si>
  <si>
    <t xml:space="preserve">• "Churn" como contado hoje: 486 assinaturas encerradas. US$ 1.179.139 de MRR.</t>
  </si>
  <si>
    <t xml:space="preserve">• Não era perda: 233 migrações (reposto US$ 460.780) e 64 compras extras desfeitas (US$ 180.445).</t>
  </si>
  <si>
    <t xml:space="preserve">• PERDA REAL: 189 assinaturas e US$ 537.914 de MRR = 46% do "churn" de hoje: redução real US$ 400.148, saída US$ 23.406 e diferença nas trocas US$ 114.360.</t>
  </si>
  <si>
    <t xml:space="preserve">ABAS</t>
  </si>
  <si>
    <t xml:space="preserve">• 1_Resumo_CEO: dois gráficos simples por trimestre ("churn" de hoje x perda real, em quantidade e em US$).</t>
  </si>
  <si>
    <t xml:space="preserve">• 2_Quantidade e 3_Valor_US$: o "churn" de hoje aberto nas 4 situações, por trimestre, com gráfico empilhado.</t>
  </si>
  <si>
    <t xml:space="preserve">• 4_Por_plano: as mesmas contas por plano, nos 24 meses.</t>
  </si>
  <si>
    <t xml:space="preserve">• Base_Encerradas: uma linha por assinatura encerrada, com a situação e o MRR reposto. Todas as abas são fórmulas sobre esta base.</t>
  </si>
  <si>
    <t xml:space="preserve">LIMITES</t>
  </si>
  <si>
    <t xml:space="preserve">• Base fictícia. As janelas de 7 dias (troca) e 30 dias (compra extra) são escolhas da análise. Diferença em relação à planilha 07 (US$ 718 mil de perda real): aqui a compra extra desfeita deixou de contar como perda.</t>
  </si>
  <si>
    <t xml:space="preserve">Churn: o que é contado hoje x o que foi perda de verdade</t>
  </si>
  <si>
    <t xml:space="preserve">Por trimestre, jan/23–dez/24. Barras cinzas = como o churn é contado hoje (toda assinatura encerrada). Barras vermelhas = perda real (redução real + saída do cliente; em US$, também a diferença nas trocas). Detalhes nas abas 2, 3 e 4.</t>
  </si>
  <si>
    <t xml:space="preserve">Trimestre</t>
  </si>
  <si>
    <t xml:space="preserve">Quantidade: "churn" de hoje</t>
  </si>
  <si>
    <t xml:space="preserve">Quantidade: perda real</t>
  </si>
  <si>
    <t xml:space="preserve">US$: "churn" de hoje</t>
  </si>
  <si>
    <t xml:space="preserve">US$: perda real</t>
  </si>
  <si>
    <t xml:space="preserve">% perda real (US$)</t>
  </si>
  <si>
    <t xml:space="preserve">2023-T1</t>
  </si>
  <si>
    <t xml:space="preserve">2023-T2</t>
  </si>
  <si>
    <t xml:space="preserve">2023-T3</t>
  </si>
  <si>
    <t xml:space="preserve">2023-T4</t>
  </si>
  <si>
    <t xml:space="preserve">2024-T1</t>
  </si>
  <si>
    <t xml:space="preserve">2024-T2</t>
  </si>
  <si>
    <t xml:space="preserve">2024-T3</t>
  </si>
  <si>
    <t xml:space="preserve">2024-T4</t>
  </si>
  <si>
    <t xml:space="preserve">Total 24 meses</t>
  </si>
  <si>
    <t xml:space="preserve">Leitura: até o 1º trimestre de 2024, quase todo o "churn" contado era perda real (≈90% em US$), mas pequena. No 2º e 3º trimestres de 2024, só cerca de 55–60% era perda. No 4º trimestre de 2024 o "churn" de hoje dispara (US$ 872 mil), mas só 38% (US$ 331 mil) foi perda real: o resto foram trocas e compras extras desfeitas. A perda real também cresce no 4º trimestre, puxada por reduções de assinaturas Enterprise.</t>
  </si>
  <si>
    <t xml:space="preserve">Assinaturas encerradas por trimestre: o que foi perda e o que não foi (quantidade)</t>
  </si>
  <si>
    <t xml:space="preserve">Cada assinatura encerrada é contada hoje como "churn". Aqui ela é separada em: Migração (a conta abriu outra assinatura até 7 dias antes/depois — troca, não é perda), Compra extra desfeita (assinatura com até 30 dias, a conta já tinha outra mais antiga do mesmo plano ativa — desfez uma compra a mais, não é perda), Redução real (a conta desligou uma assinatura e seguiu cliente — perda) e Saída do cliente (ficou sem assinatura — perda).</t>
  </si>
  <si>
    <t xml:space="preserve">Trimestre do fim</t>
  </si>
  <si>
    <t xml:space="preserve">"Churn" como contado hoje (assinaturas encerradas)</t>
  </si>
  <si>
    <t xml:space="preserve">Migração (troca)</t>
  </si>
  <si>
    <t xml:space="preserve">Compra extra desfeita</t>
  </si>
  <si>
    <t xml:space="preserve">Redução real</t>
  </si>
  <si>
    <t xml:space="preserve">Saída do cliente</t>
  </si>
  <si>
    <t xml:space="preserve">PERDA REAL (redução real + saída)</t>
  </si>
  <si>
    <t xml:space="preserve">NÃO era perda (migração + compra extra)</t>
  </si>
  <si>
    <t xml:space="preserve">% do "churn" de hoje que é perda real</t>
  </si>
  <si>
    <t xml:space="preserve">MRR encerrado por trimestre: o que foi perda de receita e o que não foi (US$ por mês)</t>
  </si>
  <si>
    <t xml:space="preserve">Valores em MRR (receita mensal). Na migração, a assinatura encerrada foi trocada por outra: o "reposto" é o MRR da assinatura nova (cada nova contada uma única vez) e só a DIFERENÇA é perda (ou ganho, se a nova for mais cara). Compra extra desfeita não é perda. PERDA REAL = diferença nas trocas + redução real + saída.</t>
  </si>
  <si>
    <t xml:space="preserve">"Churn" de receita como contado hoje</t>
  </si>
  <si>
    <t xml:space="preserve">Migração: MRR encerrado</t>
  </si>
  <si>
    <t xml:space="preserve">Migração: MRR reposto na assinatura nova</t>
  </si>
  <si>
    <t xml:space="preserve">Migração: diferença (encerrado − reposto)</t>
  </si>
  <si>
    <t xml:space="preserve">PERDA REAL</t>
  </si>
  <si>
    <t xml:space="preserve">NÃO era perda</t>
  </si>
  <si>
    <t xml:space="preserve">Gráfico: reposto (até o encerrado)</t>
  </si>
  <si>
    <t xml:space="preserve">Gráfico: diferença perdida na troca</t>
  </si>
  <si>
    <t xml:space="preserve">Gráfico: ganho na troca</t>
  </si>
  <si>
    <t xml:space="preserve">Colunas L a N só alimentam o gráfico. Quando a assinatura nova é mais cara que a encerrada (ganho na troca, coluna N), o ganho já está descontado da PERDA REAL (coluna I).</t>
  </si>
  <si>
    <t xml:space="preserve">Por plano, 24 meses: "churn" de hoje x perda por redução e saída</t>
  </si>
  <si>
    <t xml:space="preserve">Mesmas regras das abas 2 e 3, somando jan/23–dez/24. As trocas (migrações) ficam fora da perda por plano porque muitas mudam de plano (ex.: encerra Basic e abre Enterprise): o saldo das trocas só faz sentido no total.</t>
  </si>
  <si>
    <t xml:space="preserve">Plano</t>
  </si>
  <si>
    <t xml:space="preserve">Encerradas</t>
  </si>
  <si>
    <t xml:space="preserve">Migração</t>
  </si>
  <si>
    <t xml:space="preserve">Saída</t>
  </si>
  <si>
    <t xml:space="preserve">"Churn" de hoje (US$)</t>
  </si>
  <si>
    <t xml:space="preserve">Migração: MRR encerrado (US$)</t>
  </si>
  <si>
    <t xml:space="preserve">Compra extra desfeita (US$)</t>
  </si>
  <si>
    <t xml:space="preserve">PERDA do plano: redução real + saída (US$)</t>
  </si>
  <si>
    <t xml:space="preserve">% do "churn" de hoje</t>
  </si>
  <si>
    <t xml:space="preserve">Basic</t>
  </si>
  <si>
    <t xml:space="preserve">Pro</t>
  </si>
  <si>
    <t xml:space="preserve">Enterprise</t>
  </si>
  <si>
    <t xml:space="preserve">Total</t>
  </si>
  <si>
    <t xml:space="preserve">+ saldo das trocas (todas)</t>
  </si>
  <si>
    <t xml:space="preserve">PERDA REAL total</t>
  </si>
  <si>
    <t xml:space="preserve">Leitura: o Enterprise concentra a perda por redução: cada assinatura vale muito mais (US$ 199 por seat, contra 49 e 19).</t>
  </si>
  <si>
    <t xml:space="preserve">subscription_id</t>
  </si>
  <si>
    <t xml:space="preserve">account_id</t>
  </si>
  <si>
    <t xml:space="preserve">plan_tier</t>
  </si>
  <si>
    <t xml:space="preserve">trial</t>
  </si>
  <si>
    <t xml:space="preserve">seats</t>
  </si>
  <si>
    <t xml:space="preserve">mrr_amount</t>
  </si>
  <si>
    <t xml:space="preserve">start_date</t>
  </si>
  <si>
    <t xml:space="preserve">end_date</t>
  </si>
  <si>
    <t xml:space="preserve">dias_de_vida</t>
  </si>
  <si>
    <t xml:space="preserve">trimestre_fim</t>
  </si>
  <si>
    <t xml:space="preserve">situacao</t>
  </si>
  <si>
    <t xml:space="preserve">assinatura_nova</t>
  </si>
  <si>
    <t xml:space="preserve">mrr_reposto</t>
  </si>
  <si>
    <t xml:space="preserve">S-8cec59</t>
  </si>
  <si>
    <t xml:space="preserve">A-3c1a3f</t>
  </si>
  <si>
    <t xml:space="preserve">Não</t>
  </si>
  <si>
    <t xml:space="preserve">S-f81687</t>
  </si>
  <si>
    <t xml:space="preserve">A-e7a1e2</t>
  </si>
  <si>
    <t xml:space="preserve">S-13939b</t>
  </si>
  <si>
    <t xml:space="preserve">A-86902e</t>
  </si>
  <si>
    <t xml:space="preserve">Sim</t>
  </si>
  <si>
    <t xml:space="preserve">S-9333c5</t>
  </si>
  <si>
    <t xml:space="preserve">A-ef84cf</t>
  </si>
  <si>
    <t xml:space="preserve">S-1ffdd8</t>
  </si>
  <si>
    <t xml:space="preserve">S-3bd427</t>
  </si>
  <si>
    <t xml:space="preserve">A-2e3bad</t>
  </si>
  <si>
    <t xml:space="preserve">S-c75159</t>
  </si>
  <si>
    <t xml:space="preserve">A-bcf87c</t>
  </si>
  <si>
    <t xml:space="preserve">S-aff55c</t>
  </si>
  <si>
    <t xml:space="preserve">A-bb2f49</t>
  </si>
  <si>
    <t xml:space="preserve">S-e44831</t>
  </si>
  <si>
    <t xml:space="preserve">S-7f8cd8</t>
  </si>
  <si>
    <t xml:space="preserve">A-53f4e3</t>
  </si>
  <si>
    <t xml:space="preserve">S-b2d472</t>
  </si>
  <si>
    <t xml:space="preserve">S-0e12c9</t>
  </si>
  <si>
    <t xml:space="preserve">S-0267b7</t>
  </si>
  <si>
    <t xml:space="preserve">A-65a46c</t>
  </si>
  <si>
    <t xml:space="preserve">S-ce5450</t>
  </si>
  <si>
    <t xml:space="preserve">A-0a282f</t>
  </si>
  <si>
    <t xml:space="preserve">S-9c414f</t>
  </si>
  <si>
    <t xml:space="preserve">S-09cdac</t>
  </si>
  <si>
    <t xml:space="preserve">A-82861f</t>
  </si>
  <si>
    <t xml:space="preserve">S-0cb6ed</t>
  </si>
  <si>
    <t xml:space="preserve">A-ac85cd</t>
  </si>
  <si>
    <t xml:space="preserve">S-b35203</t>
  </si>
  <si>
    <t xml:space="preserve">S-0e4b0c</t>
  </si>
  <si>
    <t xml:space="preserve">A-39b19f</t>
  </si>
  <si>
    <t xml:space="preserve">S-1bd2ec</t>
  </si>
  <si>
    <t xml:space="preserve">A-e60f9d</t>
  </si>
  <si>
    <t xml:space="preserve">S-3867d6</t>
  </si>
  <si>
    <t xml:space="preserve">S-401496</t>
  </si>
  <si>
    <t xml:space="preserve">A-68f37c</t>
  </si>
  <si>
    <t xml:space="preserve">S-017e33</t>
  </si>
  <si>
    <t xml:space="preserve">A-f9cc74</t>
  </si>
  <si>
    <t xml:space="preserve">S-c76699</t>
  </si>
  <si>
    <t xml:space="preserve">S-9b2c95</t>
  </si>
  <si>
    <t xml:space="preserve">S-a8299c</t>
  </si>
  <si>
    <t xml:space="preserve">S-0b0ffa</t>
  </si>
  <si>
    <t xml:space="preserve">A-180abf</t>
  </si>
  <si>
    <t xml:space="preserve">S-612bfb</t>
  </si>
  <si>
    <t xml:space="preserve">S-431c03</t>
  </si>
  <si>
    <t xml:space="preserve">A-e4bf56</t>
  </si>
  <si>
    <t xml:space="preserve">S-bba658</t>
  </si>
  <si>
    <t xml:space="preserve">S-4f0027</t>
  </si>
  <si>
    <t xml:space="preserve">A-ff79f2</t>
  </si>
  <si>
    <t xml:space="preserve">S-2ded06</t>
  </si>
  <si>
    <t xml:space="preserve">S-396a84</t>
  </si>
  <si>
    <t xml:space="preserve">A-5b4ebb</t>
  </si>
  <si>
    <t xml:space="preserve">S-02cde8</t>
  </si>
  <si>
    <t xml:space="preserve">S-33e40e</t>
  </si>
  <si>
    <t xml:space="preserve">A-86cdb4</t>
  </si>
  <si>
    <t xml:space="preserve">S-684751</t>
  </si>
  <si>
    <t xml:space="preserve">S-bbafad</t>
  </si>
  <si>
    <t xml:space="preserve">A-854864</t>
  </si>
  <si>
    <t xml:space="preserve">S-676254</t>
  </si>
  <si>
    <t xml:space="preserve">S-7904d3</t>
  </si>
  <si>
    <t xml:space="preserve">A-d4e0d4</t>
  </si>
  <si>
    <t xml:space="preserve">S-936732</t>
  </si>
  <si>
    <t xml:space="preserve">A-2f6a32</t>
  </si>
  <si>
    <t xml:space="preserve">S-55d53c</t>
  </si>
  <si>
    <t xml:space="preserve">S-c2f293</t>
  </si>
  <si>
    <t xml:space="preserve">A-69b156</t>
  </si>
  <si>
    <t xml:space="preserve">S-f5f5b3</t>
  </si>
  <si>
    <t xml:space="preserve">A-89ee83</t>
  </si>
  <si>
    <t xml:space="preserve">S-bf304b</t>
  </si>
  <si>
    <t xml:space="preserve">S-4afb53</t>
  </si>
  <si>
    <t xml:space="preserve">A-40de06</t>
  </si>
  <si>
    <t xml:space="preserve">S-85796b</t>
  </si>
  <si>
    <t xml:space="preserve">A-f19409</t>
  </si>
  <si>
    <t xml:space="preserve">S-f9e5e9</t>
  </si>
  <si>
    <t xml:space="preserve">S-4bef15</t>
  </si>
  <si>
    <t xml:space="preserve">A-600734</t>
  </si>
  <si>
    <t xml:space="preserve">S-61e53d</t>
  </si>
  <si>
    <t xml:space="preserve">A-d42431</t>
  </si>
  <si>
    <t xml:space="preserve">S-48ce17</t>
  </si>
  <si>
    <t xml:space="preserve">S-8324d4</t>
  </si>
  <si>
    <t xml:space="preserve">A-5a215a</t>
  </si>
  <si>
    <t xml:space="preserve">S-5da6e7</t>
  </si>
  <si>
    <t xml:space="preserve">S-93fab3</t>
  </si>
  <si>
    <t xml:space="preserve">A-9f9299</t>
  </si>
  <si>
    <t xml:space="preserve">S-24ae40</t>
  </si>
  <si>
    <t xml:space="preserve">A-328bd0</t>
  </si>
  <si>
    <t xml:space="preserve">S-fee60b</t>
  </si>
  <si>
    <t xml:space="preserve">A-4a267b</t>
  </si>
  <si>
    <t xml:space="preserve">S-5a6941</t>
  </si>
  <si>
    <t xml:space="preserve">S-d01053</t>
  </si>
  <si>
    <t xml:space="preserve">A-779e4e</t>
  </si>
  <si>
    <t xml:space="preserve">S-321498</t>
  </si>
  <si>
    <t xml:space="preserve">A-3a7284</t>
  </si>
  <si>
    <t xml:space="preserve">S-7be036</t>
  </si>
  <si>
    <t xml:space="preserve">S-627cfa</t>
  </si>
  <si>
    <t xml:space="preserve">A-9bfc9f</t>
  </si>
  <si>
    <t xml:space="preserve">S-84c44b</t>
  </si>
  <si>
    <t xml:space="preserve">S-2e017b</t>
  </si>
  <si>
    <t xml:space="preserve">A-432483</t>
  </si>
  <si>
    <t xml:space="preserve">S-40b133</t>
  </si>
  <si>
    <t xml:space="preserve">S-63e282</t>
  </si>
  <si>
    <t xml:space="preserve">A-6a4e2d</t>
  </si>
  <si>
    <t xml:space="preserve">S-ef2a21</t>
  </si>
  <si>
    <t xml:space="preserve">A-427b69</t>
  </si>
  <si>
    <t xml:space="preserve">S-f7b517</t>
  </si>
  <si>
    <t xml:space="preserve">S-42aaf0</t>
  </si>
  <si>
    <t xml:space="preserve">A-6da850</t>
  </si>
  <si>
    <t xml:space="preserve">S-5f40a3</t>
  </si>
  <si>
    <t xml:space="preserve">S-c4c9ce</t>
  </si>
  <si>
    <t xml:space="preserve">A-625d0b</t>
  </si>
  <si>
    <t xml:space="preserve">S-b156cf</t>
  </si>
  <si>
    <t xml:space="preserve">S-fc1114</t>
  </si>
  <si>
    <t xml:space="preserve">A-4c56c9</t>
  </si>
  <si>
    <t xml:space="preserve">S-a554da</t>
  </si>
  <si>
    <t xml:space="preserve">A-712f1c</t>
  </si>
  <si>
    <t xml:space="preserve">S-984f8b</t>
  </si>
  <si>
    <t xml:space="preserve">A-db5e9e</t>
  </si>
  <si>
    <t xml:space="preserve">S-23587d</t>
  </si>
  <si>
    <t xml:space="preserve">S-9686c6</t>
  </si>
  <si>
    <t xml:space="preserve">A-eb2fdc</t>
  </si>
  <si>
    <t xml:space="preserve">S-94cfff</t>
  </si>
  <si>
    <t xml:space="preserve">A-439b2f</t>
  </si>
  <si>
    <t xml:space="preserve">S-dab0d8</t>
  </si>
  <si>
    <t xml:space="preserve">S-f49e0b</t>
  </si>
  <si>
    <t xml:space="preserve">A-7f6b86</t>
  </si>
  <si>
    <t xml:space="preserve">S-f243c1</t>
  </si>
  <si>
    <t xml:space="preserve">A-e888d1</t>
  </si>
  <si>
    <t xml:space="preserve">S-a346d6</t>
  </si>
  <si>
    <t xml:space="preserve">S-973e8e</t>
  </si>
  <si>
    <t xml:space="preserve">S-b4212b</t>
  </si>
  <si>
    <t xml:space="preserve">A-10b8da</t>
  </si>
  <si>
    <t xml:space="preserve">S-8a9db8</t>
  </si>
  <si>
    <t xml:space="preserve">A-474ad4</t>
  </si>
  <si>
    <t xml:space="preserve">S-3660bb</t>
  </si>
  <si>
    <t xml:space="preserve">S-f965de</t>
  </si>
  <si>
    <t xml:space="preserve">A-ab438f</t>
  </si>
  <si>
    <t xml:space="preserve">S-1d5f4e</t>
  </si>
  <si>
    <t xml:space="preserve">S-3ad7c4</t>
  </si>
  <si>
    <t xml:space="preserve">A-f17767</t>
  </si>
  <si>
    <t xml:space="preserve">S-75c1b4</t>
  </si>
  <si>
    <t xml:space="preserve">A-5a3eb9</t>
  </si>
  <si>
    <t xml:space="preserve">S-d449e1</t>
  </si>
  <si>
    <t xml:space="preserve">A-ccabf0</t>
  </si>
  <si>
    <t xml:space="preserve">S-bdc6b7</t>
  </si>
  <si>
    <t xml:space="preserve">A-7f29a7</t>
  </si>
  <si>
    <t xml:space="preserve">S-9cb6a7</t>
  </si>
  <si>
    <t xml:space="preserve">S-11066a</t>
  </si>
  <si>
    <t xml:space="preserve">S-49aa80</t>
  </si>
  <si>
    <t xml:space="preserve">A-a45270</t>
  </si>
  <si>
    <t xml:space="preserve">S-a50803</t>
  </si>
  <si>
    <t xml:space="preserve">S-e1fa5b</t>
  </si>
  <si>
    <t xml:space="preserve">A-157070</t>
  </si>
  <si>
    <t xml:space="preserve">S-7a9d40</t>
  </si>
  <si>
    <t xml:space="preserve">S-41cdf0</t>
  </si>
  <si>
    <t xml:space="preserve">S-e6a17a</t>
  </si>
  <si>
    <t xml:space="preserve">A-039727</t>
  </si>
  <si>
    <t xml:space="preserve">S-c2fd82</t>
  </si>
  <si>
    <t xml:space="preserve">A-84ebe4</t>
  </si>
  <si>
    <t xml:space="preserve">S-0f0d3a</t>
  </si>
  <si>
    <t xml:space="preserve">A-ad296b</t>
  </si>
  <si>
    <t xml:space="preserve">S-8ca9f0</t>
  </si>
  <si>
    <t xml:space="preserve">A-e693b6</t>
  </si>
  <si>
    <t xml:space="preserve">S-be0fc9</t>
  </si>
  <si>
    <t xml:space="preserve">S-c15fcc</t>
  </si>
  <si>
    <t xml:space="preserve">A-fd9422</t>
  </si>
  <si>
    <t xml:space="preserve">S-a7a9c3</t>
  </si>
  <si>
    <t xml:space="preserve">S-2fe253</t>
  </si>
  <si>
    <t xml:space="preserve">A-1f0636</t>
  </si>
  <si>
    <t xml:space="preserve">S-deb65c</t>
  </si>
  <si>
    <t xml:space="preserve">S-712f3a</t>
  </si>
  <si>
    <t xml:space="preserve">A-eb1312</t>
  </si>
  <si>
    <t xml:space="preserve">S-fc65aa</t>
  </si>
  <si>
    <t xml:space="preserve">S-dfa4c8</t>
  </si>
  <si>
    <t xml:space="preserve">A-eb7fac</t>
  </si>
  <si>
    <t xml:space="preserve">S-302856</t>
  </si>
  <si>
    <t xml:space="preserve">A-e1b9cd</t>
  </si>
  <si>
    <t xml:space="preserve">S-310ae0</t>
  </si>
  <si>
    <t xml:space="preserve">A-58b9ff</t>
  </si>
  <si>
    <t xml:space="preserve">S-58ab69</t>
  </si>
  <si>
    <t xml:space="preserve">S-de9ce0</t>
  </si>
  <si>
    <t xml:space="preserve">A-faa28c</t>
  </si>
  <si>
    <t xml:space="preserve">S-92dbcc</t>
  </si>
  <si>
    <t xml:space="preserve">S-37b59a</t>
  </si>
  <si>
    <t xml:space="preserve">A-2d1036</t>
  </si>
  <si>
    <t xml:space="preserve">S-b95aac</t>
  </si>
  <si>
    <t xml:space="preserve">S-cf2b4a</t>
  </si>
  <si>
    <t xml:space="preserve">S-1131ff</t>
  </si>
  <si>
    <t xml:space="preserve">A-0f7d77</t>
  </si>
  <si>
    <t xml:space="preserve">S-47048b</t>
  </si>
  <si>
    <t xml:space="preserve">S-506cbd</t>
  </si>
  <si>
    <t xml:space="preserve">A-9c18c4</t>
  </si>
  <si>
    <t xml:space="preserve">S-d32441</t>
  </si>
  <si>
    <t xml:space="preserve">A-781cc0</t>
  </si>
  <si>
    <t xml:space="preserve">S-d11408</t>
  </si>
  <si>
    <t xml:space="preserve">S-bdf8bf</t>
  </si>
  <si>
    <t xml:space="preserve">A-cdf020</t>
  </si>
  <si>
    <t xml:space="preserve">S-9b12da</t>
  </si>
  <si>
    <t xml:space="preserve">A-702032</t>
  </si>
  <si>
    <t xml:space="preserve">S-e6cfc1</t>
  </si>
  <si>
    <t xml:space="preserve">A-1e6fc3</t>
  </si>
  <si>
    <t xml:space="preserve">S-1a20b6</t>
  </si>
  <si>
    <t xml:space="preserve">S-704b48</t>
  </si>
  <si>
    <t xml:space="preserve">A-a7bd4b</t>
  </si>
  <si>
    <t xml:space="preserve">S-ffd591</t>
  </si>
  <si>
    <t xml:space="preserve">S-ad26e3</t>
  </si>
  <si>
    <t xml:space="preserve">A-c37601</t>
  </si>
  <si>
    <t xml:space="preserve">S-4bfa1d</t>
  </si>
  <si>
    <t xml:space="preserve">A-ce550d</t>
  </si>
  <si>
    <t xml:space="preserve">S-79d1e0</t>
  </si>
  <si>
    <t xml:space="preserve">S-e561b9</t>
  </si>
  <si>
    <t xml:space="preserve">A-d26ab4</t>
  </si>
  <si>
    <t xml:space="preserve">S-8ff318</t>
  </si>
  <si>
    <t xml:space="preserve">A-e7beab</t>
  </si>
  <si>
    <t xml:space="preserve">S-0509b8</t>
  </si>
  <si>
    <t xml:space="preserve">A-e351e1</t>
  </si>
  <si>
    <t xml:space="preserve">S-7da02b</t>
  </si>
  <si>
    <t xml:space="preserve">A-f44180</t>
  </si>
  <si>
    <t xml:space="preserve">S-aba835</t>
  </si>
  <si>
    <t xml:space="preserve">A-5b1bcd</t>
  </si>
  <si>
    <t xml:space="preserve">S-0e3b42</t>
  </si>
  <si>
    <t xml:space="preserve">A-cb5333</t>
  </si>
  <si>
    <t xml:space="preserve">S-71cefe</t>
  </si>
  <si>
    <t xml:space="preserve">S-d6d433</t>
  </si>
  <si>
    <t xml:space="preserve">A-5247b3</t>
  </si>
  <si>
    <t xml:space="preserve">S-d0429b</t>
  </si>
  <si>
    <t xml:space="preserve">S-5ed35a</t>
  </si>
  <si>
    <t xml:space="preserve">A-32fb14</t>
  </si>
  <si>
    <t xml:space="preserve">S-02be35</t>
  </si>
  <si>
    <t xml:space="preserve">A-e08cd3</t>
  </si>
  <si>
    <t xml:space="preserve">S-384681</t>
  </si>
  <si>
    <t xml:space="preserve">S-3ee7c3</t>
  </si>
  <si>
    <t xml:space="preserve">S-15a058</t>
  </si>
  <si>
    <t xml:space="preserve">A-9208f0</t>
  </si>
  <si>
    <t xml:space="preserve">S-8c767b</t>
  </si>
  <si>
    <t xml:space="preserve">A-b07b56</t>
  </si>
  <si>
    <t xml:space="preserve">S-53b07a</t>
  </si>
  <si>
    <t xml:space="preserve">S-8013f6</t>
  </si>
  <si>
    <t xml:space="preserve">A-6a7c9d</t>
  </si>
  <si>
    <t xml:space="preserve">S-c0820a</t>
  </si>
  <si>
    <t xml:space="preserve">S-dcd084</t>
  </si>
  <si>
    <t xml:space="preserve">A-d27f50</t>
  </si>
  <si>
    <t xml:space="preserve">S-26da35</t>
  </si>
  <si>
    <t xml:space="preserve">S-8bfab5</t>
  </si>
  <si>
    <t xml:space="preserve">A-af0cd2</t>
  </si>
  <si>
    <t xml:space="preserve">S-0a70a3</t>
  </si>
  <si>
    <t xml:space="preserve">A-5b051a</t>
  </si>
  <si>
    <t xml:space="preserve">S-ad31b0</t>
  </si>
  <si>
    <t xml:space="preserve">S-de543d</t>
  </si>
  <si>
    <t xml:space="preserve">A-1e50e0</t>
  </si>
  <si>
    <t xml:space="preserve">S-f80617</t>
  </si>
  <si>
    <t xml:space="preserve">A-d4ac0e</t>
  </si>
  <si>
    <t xml:space="preserve">S-b76ba6</t>
  </si>
  <si>
    <t xml:space="preserve">S-c8fd93</t>
  </si>
  <si>
    <t xml:space="preserve">A-0354fe</t>
  </si>
  <si>
    <t xml:space="preserve">S-ab63e3</t>
  </si>
  <si>
    <t xml:space="preserve">S-33df6f</t>
  </si>
  <si>
    <t xml:space="preserve">A-0baac2</t>
  </si>
  <si>
    <t xml:space="preserve">S-e50d84</t>
  </si>
  <si>
    <t xml:space="preserve">S-a332ba</t>
  </si>
  <si>
    <t xml:space="preserve">S-18e3a5</t>
  </si>
  <si>
    <t xml:space="preserve">A-c43359</t>
  </si>
  <si>
    <t xml:space="preserve">S-09cb75</t>
  </si>
  <si>
    <t xml:space="preserve">S-951de6</t>
  </si>
  <si>
    <t xml:space="preserve">A-ccb686</t>
  </si>
  <si>
    <t xml:space="preserve">S-3c4cae</t>
  </si>
  <si>
    <t xml:space="preserve">S-b22602</t>
  </si>
  <si>
    <t xml:space="preserve">A-b9f5b1</t>
  </si>
  <si>
    <t xml:space="preserve">S-b6ab32</t>
  </si>
  <si>
    <t xml:space="preserve">A-dbc825</t>
  </si>
  <si>
    <t xml:space="preserve">S-a22ca2</t>
  </si>
  <si>
    <t xml:space="preserve">S-04911c</t>
  </si>
  <si>
    <t xml:space="preserve">A-bc87bc</t>
  </si>
  <si>
    <t xml:space="preserve">S-b2f3f3</t>
  </si>
  <si>
    <t xml:space="preserve">S-2f8dbb</t>
  </si>
  <si>
    <t xml:space="preserve">A-13466a</t>
  </si>
  <si>
    <t xml:space="preserve">S-1b6221</t>
  </si>
  <si>
    <t xml:space="preserve">A-f6b2fb</t>
  </si>
  <si>
    <t xml:space="preserve">S-653165</t>
  </si>
  <si>
    <t xml:space="preserve">S-9d727d</t>
  </si>
  <si>
    <t xml:space="preserve">S-8cb02e</t>
  </si>
  <si>
    <t xml:space="preserve">A-de24d5</t>
  </si>
  <si>
    <t xml:space="preserve">S-3663bb</t>
  </si>
  <si>
    <t xml:space="preserve">S-1d7e7f</t>
  </si>
  <si>
    <t xml:space="preserve">A-d922bf</t>
  </si>
  <si>
    <t xml:space="preserve">S-689032</t>
  </si>
  <si>
    <t xml:space="preserve">A-410e86</t>
  </si>
  <si>
    <t xml:space="preserve">S-2b2532</t>
  </si>
  <si>
    <t xml:space="preserve">S-9c0df6</t>
  </si>
  <si>
    <t xml:space="preserve">A-883b7d</t>
  </si>
  <si>
    <t xml:space="preserve">S-e3903e</t>
  </si>
  <si>
    <t xml:space="preserve">S-0da40c</t>
  </si>
  <si>
    <t xml:space="preserve">A-6e7827</t>
  </si>
  <si>
    <t xml:space="preserve">S-969f4c</t>
  </si>
  <si>
    <t xml:space="preserve">A-b11cd0</t>
  </si>
  <si>
    <t xml:space="preserve">S-4ed473</t>
  </si>
  <si>
    <t xml:space="preserve">A-bcf664</t>
  </si>
  <si>
    <t xml:space="preserve">S-853f5d</t>
  </si>
  <si>
    <t xml:space="preserve">S-5eaab8</t>
  </si>
  <si>
    <t xml:space="preserve">A-0f3e88</t>
  </si>
  <si>
    <t xml:space="preserve">S-97efb2</t>
  </si>
  <si>
    <t xml:space="preserve">S-fe25ff</t>
  </si>
  <si>
    <t xml:space="preserve">S-e0bfb1</t>
  </si>
  <si>
    <t xml:space="preserve">A-029f69</t>
  </si>
  <si>
    <t xml:space="preserve">S-1e15d1</t>
  </si>
  <si>
    <t xml:space="preserve">A-700ade</t>
  </si>
  <si>
    <t xml:space="preserve">S-15a8c0</t>
  </si>
  <si>
    <t xml:space="preserve">S-556071</t>
  </si>
  <si>
    <t xml:space="preserve">A-9077b0</t>
  </si>
  <si>
    <t xml:space="preserve">S-f4019e</t>
  </si>
  <si>
    <t xml:space="preserve">A-7988d1</t>
  </si>
  <si>
    <t xml:space="preserve">S-381420</t>
  </si>
  <si>
    <t xml:space="preserve">A-42b791</t>
  </si>
  <si>
    <t xml:space="preserve">S-06e837</t>
  </si>
  <si>
    <t xml:space="preserve">A-7c4956</t>
  </si>
  <si>
    <t xml:space="preserve">S-0d0202</t>
  </si>
  <si>
    <t xml:space="preserve">A-adc1f3</t>
  </si>
  <si>
    <t xml:space="preserve">S-2b608a</t>
  </si>
  <si>
    <t xml:space="preserve">S-8faa60</t>
  </si>
  <si>
    <t xml:space="preserve">S-8ec197</t>
  </si>
  <si>
    <t xml:space="preserve">S-842638</t>
  </si>
  <si>
    <t xml:space="preserve">A-35083d</t>
  </si>
  <si>
    <t xml:space="preserve">S-ed4c45</t>
  </si>
  <si>
    <t xml:space="preserve">A-4e44e8</t>
  </si>
  <si>
    <t xml:space="preserve">S-307b2b</t>
  </si>
  <si>
    <t xml:space="preserve">S-d35d49</t>
  </si>
  <si>
    <t xml:space="preserve">S-ad8055</t>
  </si>
  <si>
    <t xml:space="preserve">S-ffe125</t>
  </si>
  <si>
    <t xml:space="preserve">A-e89151</t>
  </si>
  <si>
    <t xml:space="preserve">S-28d401</t>
  </si>
  <si>
    <t xml:space="preserve">A-d792a6</t>
  </si>
  <si>
    <t xml:space="preserve">S-3965a4</t>
  </si>
  <si>
    <t xml:space="preserve">A-8b25f2</t>
  </si>
  <si>
    <t xml:space="preserve">S-654529</t>
  </si>
  <si>
    <t xml:space="preserve">S-83b2ee</t>
  </si>
  <si>
    <t xml:space="preserve">A-7c83a1</t>
  </si>
  <si>
    <t xml:space="preserve">S-cbe349</t>
  </si>
  <si>
    <t xml:space="preserve">S-5cb87c</t>
  </si>
  <si>
    <t xml:space="preserve">S-b6e15a</t>
  </si>
  <si>
    <t xml:space="preserve">A-67be94</t>
  </si>
  <si>
    <t xml:space="preserve">S-05be05</t>
  </si>
  <si>
    <t xml:space="preserve">S-222167</t>
  </si>
  <si>
    <t xml:space="preserve">A-c1e51e</t>
  </si>
  <si>
    <t xml:space="preserve">S-9fa080</t>
  </si>
  <si>
    <t xml:space="preserve">S-9d7c19</t>
  </si>
  <si>
    <t xml:space="preserve">A-82d8a6</t>
  </si>
  <si>
    <t xml:space="preserve">S-2f11bb</t>
  </si>
  <si>
    <t xml:space="preserve">S-1d2d00</t>
  </si>
  <si>
    <t xml:space="preserve">S-9a44ec</t>
  </si>
  <si>
    <t xml:space="preserve">A-bf7919</t>
  </si>
  <si>
    <t xml:space="preserve">S-615a8a</t>
  </si>
  <si>
    <t xml:space="preserve">S-f99f9e</t>
  </si>
  <si>
    <t xml:space="preserve">S-9dda85</t>
  </si>
  <si>
    <t xml:space="preserve">A-462d45</t>
  </si>
  <si>
    <t xml:space="preserve">S-038f6f</t>
  </si>
  <si>
    <t xml:space="preserve">S-93dc0e</t>
  </si>
  <si>
    <t xml:space="preserve">A-8e47ca</t>
  </si>
  <si>
    <t xml:space="preserve">S-a07c46</t>
  </si>
  <si>
    <t xml:space="preserve">S-96a469</t>
  </si>
  <si>
    <t xml:space="preserve">S-084f4a</t>
  </si>
  <si>
    <t xml:space="preserve">S-26191b</t>
  </si>
  <si>
    <t xml:space="preserve">A-cbbe12</t>
  </si>
  <si>
    <t xml:space="preserve">S-feea3a</t>
  </si>
  <si>
    <t xml:space="preserve">S-44fba6</t>
  </si>
  <si>
    <t xml:space="preserve">S-f86bcf</t>
  </si>
  <si>
    <t xml:space="preserve">A-592832</t>
  </si>
  <si>
    <t xml:space="preserve">S-17cfc4</t>
  </si>
  <si>
    <t xml:space="preserve">S-b3071c</t>
  </si>
  <si>
    <t xml:space="preserve">A-cab532</t>
  </si>
  <si>
    <t xml:space="preserve">S-88cb91</t>
  </si>
  <si>
    <t xml:space="preserve">S-fc6cb4</t>
  </si>
  <si>
    <t xml:space="preserve">A-34d880</t>
  </si>
  <si>
    <t xml:space="preserve">S-b7deea</t>
  </si>
  <si>
    <t xml:space="preserve">A-65aeb5</t>
  </si>
  <si>
    <t xml:space="preserve">S-8b349c</t>
  </si>
  <si>
    <t xml:space="preserve">A-32728c</t>
  </si>
  <si>
    <t xml:space="preserve">S-a4fd17</t>
  </si>
  <si>
    <t xml:space="preserve">S-cd2085</t>
  </si>
  <si>
    <t xml:space="preserve">S-0e9f1e</t>
  </si>
  <si>
    <t xml:space="preserve">S-404ecd</t>
  </si>
  <si>
    <t xml:space="preserve">S-8b1b5a</t>
  </si>
  <si>
    <t xml:space="preserve">S-a7ea10</t>
  </si>
  <si>
    <t xml:space="preserve">A-96e141</t>
  </si>
  <si>
    <t xml:space="preserve">S-984423</t>
  </si>
  <si>
    <t xml:space="preserve">S-22eb3c</t>
  </si>
  <si>
    <t xml:space="preserve">S-e052d8</t>
  </si>
  <si>
    <t xml:space="preserve">S-4f21c1</t>
  </si>
  <si>
    <t xml:space="preserve">S-649bb6</t>
  </si>
  <si>
    <t xml:space="preserve">S-f4caa8</t>
  </si>
  <si>
    <t xml:space="preserve">A-9badbd</t>
  </si>
  <si>
    <t xml:space="preserve">S-0756ce</t>
  </si>
  <si>
    <t xml:space="preserve">S-dfbd79</t>
  </si>
  <si>
    <t xml:space="preserve">A-977ca0</t>
  </si>
  <si>
    <t xml:space="preserve">S-befdba</t>
  </si>
  <si>
    <t xml:space="preserve">S-0d6ea4</t>
  </si>
  <si>
    <t xml:space="preserve">S-3741b9</t>
  </si>
  <si>
    <t xml:space="preserve">A-c16b88</t>
  </si>
  <si>
    <t xml:space="preserve">S-7a36ee</t>
  </si>
  <si>
    <t xml:space="preserve">S-b1d153</t>
  </si>
  <si>
    <t xml:space="preserve">A-3793ee</t>
  </si>
  <si>
    <t xml:space="preserve">S-1d63bf</t>
  </si>
  <si>
    <t xml:space="preserve">A-69fad4</t>
  </si>
  <si>
    <t xml:space="preserve">S-a94f54</t>
  </si>
  <si>
    <t xml:space="preserve">S-6bd30a</t>
  </si>
  <si>
    <t xml:space="preserve">A-5c9849</t>
  </si>
  <si>
    <t xml:space="preserve">S-a1901c</t>
  </si>
  <si>
    <t xml:space="preserve">S-75cba6</t>
  </si>
  <si>
    <t xml:space="preserve">S-826d19</t>
  </si>
  <si>
    <t xml:space="preserve">A-5790f4</t>
  </si>
  <si>
    <t xml:space="preserve">S-eabe72</t>
  </si>
  <si>
    <t xml:space="preserve">S-149409</t>
  </si>
  <si>
    <t xml:space="preserve">A-0cc442</t>
  </si>
  <si>
    <t xml:space="preserve">S-d36b9f</t>
  </si>
  <si>
    <t xml:space="preserve">S-4d47e3</t>
  </si>
  <si>
    <t xml:space="preserve">A-7f4db3</t>
  </si>
  <si>
    <t xml:space="preserve">S-0da8be</t>
  </si>
  <si>
    <t xml:space="preserve">A-cc8c8f</t>
  </si>
  <si>
    <t xml:space="preserve">S-80af53</t>
  </si>
  <si>
    <t xml:space="preserve">A-fd7ad3</t>
  </si>
  <si>
    <t xml:space="preserve">S-4f43fd</t>
  </si>
  <si>
    <t xml:space="preserve">S-9a8a30</t>
  </si>
  <si>
    <t xml:space="preserve">S-b53850</t>
  </si>
  <si>
    <t xml:space="preserve">A-cd458b</t>
  </si>
  <si>
    <t xml:space="preserve">S-e6c900</t>
  </si>
  <si>
    <t xml:space="preserve">S-342708</t>
  </si>
  <si>
    <t xml:space="preserve">A-ffc04f</t>
  </si>
  <si>
    <t xml:space="preserve">S-bd3e24</t>
  </si>
  <si>
    <t xml:space="preserve">S-0f9910</t>
  </si>
  <si>
    <t xml:space="preserve">S-7f92bd</t>
  </si>
  <si>
    <t xml:space="preserve">A-4f18f0</t>
  </si>
  <si>
    <t xml:space="preserve">S-f2e134</t>
  </si>
  <si>
    <t xml:space="preserve">S-d44088</t>
  </si>
  <si>
    <t xml:space="preserve">A-0651a4</t>
  </si>
  <si>
    <t xml:space="preserve">S-e62fc9</t>
  </si>
  <si>
    <t xml:space="preserve">S-2c11c6</t>
  </si>
  <si>
    <t xml:space="preserve">A-76fa4d</t>
  </si>
  <si>
    <t xml:space="preserve">S-b01b1c</t>
  </si>
  <si>
    <t xml:space="preserve">S-91cd9b</t>
  </si>
  <si>
    <t xml:space="preserve">S-70d15d</t>
  </si>
  <si>
    <t xml:space="preserve">A-8adedc</t>
  </si>
  <si>
    <t xml:space="preserve">S-d8441d</t>
  </si>
  <si>
    <t xml:space="preserve">S-abddce</t>
  </si>
  <si>
    <t xml:space="preserve">A-7d514c</t>
  </si>
  <si>
    <t xml:space="preserve">S-9e6a18</t>
  </si>
  <si>
    <t xml:space="preserve">S-7dab19</t>
  </si>
  <si>
    <t xml:space="preserve">A-de58ca</t>
  </si>
  <si>
    <t xml:space="preserve">S-ddf5ff</t>
  </si>
  <si>
    <t xml:space="preserve">A-1f559b</t>
  </si>
  <si>
    <t xml:space="preserve">S-142456</t>
  </si>
  <si>
    <t xml:space="preserve">A-22d9d2</t>
  </si>
  <si>
    <t xml:space="preserve">S-20d02a</t>
  </si>
  <si>
    <t xml:space="preserve">A-40a557</t>
  </si>
  <si>
    <t xml:space="preserve">S-ed9451</t>
  </si>
  <si>
    <t xml:space="preserve">A-bd4513</t>
  </si>
  <si>
    <t xml:space="preserve">S-d90f5e</t>
  </si>
  <si>
    <t xml:space="preserve">S-6a0399</t>
  </si>
  <si>
    <t xml:space="preserve">A-df1e44</t>
  </si>
  <si>
    <t xml:space="preserve">S-ecb8d5</t>
  </si>
  <si>
    <t xml:space="preserve">S-6ce221</t>
  </si>
  <si>
    <t xml:space="preserve">S-af8f54</t>
  </si>
  <si>
    <t xml:space="preserve">A-712426</t>
  </si>
  <si>
    <t xml:space="preserve">S-1dfdd0</t>
  </si>
  <si>
    <t xml:space="preserve">S-dfaf24</t>
  </si>
  <si>
    <t xml:space="preserve">A-970c97</t>
  </si>
  <si>
    <t xml:space="preserve">S-ccdc31</t>
  </si>
  <si>
    <t xml:space="preserve">S-09251c</t>
  </si>
  <si>
    <t xml:space="preserve">S-9a7851</t>
  </si>
  <si>
    <t xml:space="preserve">A-4c38bc</t>
  </si>
  <si>
    <t xml:space="preserve">S-450fa9</t>
  </si>
  <si>
    <t xml:space="preserve">A-186a44</t>
  </si>
  <si>
    <t xml:space="preserve">S-dd85c4</t>
  </si>
  <si>
    <t xml:space="preserve">A-65c341</t>
  </si>
  <si>
    <t xml:space="preserve">S-afed2d</t>
  </si>
  <si>
    <t xml:space="preserve">A-726cfa</t>
  </si>
  <si>
    <t xml:space="preserve">S-fa0d9e</t>
  </si>
  <si>
    <t xml:space="preserve">S-d3f138</t>
  </si>
  <si>
    <t xml:space="preserve">A-560d27</t>
  </si>
  <si>
    <t xml:space="preserve">S-cb54dc</t>
  </si>
  <si>
    <t xml:space="preserve">S-e78857</t>
  </si>
  <si>
    <t xml:space="preserve">S-783131</t>
  </si>
  <si>
    <t xml:space="preserve">A-51ec1b</t>
  </si>
  <si>
    <t xml:space="preserve">S-7553fb</t>
  </si>
  <si>
    <t xml:space="preserve">A-54d94a</t>
  </si>
  <si>
    <t xml:space="preserve">S-8e5ceb</t>
  </si>
  <si>
    <t xml:space="preserve">S-c2c321</t>
  </si>
  <si>
    <t xml:space="preserve">A-684255</t>
  </si>
  <si>
    <t xml:space="preserve">S-7ea5d9</t>
  </si>
  <si>
    <t xml:space="preserve">S-aa0c6b</t>
  </si>
  <si>
    <t xml:space="preserve">S-51b3ed</t>
  </si>
  <si>
    <t xml:space="preserve">S-62c824</t>
  </si>
  <si>
    <t xml:space="preserve">A-0e966d</t>
  </si>
  <si>
    <t xml:space="preserve">S-d2863b</t>
  </si>
  <si>
    <t xml:space="preserve">A-ac9111</t>
  </si>
  <si>
    <t xml:space="preserve">S-2223bf</t>
  </si>
  <si>
    <t xml:space="preserve">S-704cf3</t>
  </si>
  <si>
    <t xml:space="preserve">S-8bab7f</t>
  </si>
  <si>
    <t xml:space="preserve">A-72799b</t>
  </si>
  <si>
    <t xml:space="preserve">S-dd3b36</t>
  </si>
  <si>
    <t xml:space="preserve">A-1b7577</t>
  </si>
  <si>
    <t xml:space="preserve">S-5bbb53</t>
  </si>
  <si>
    <t xml:space="preserve">S-670476</t>
  </si>
  <si>
    <t xml:space="preserve">A-8b0451</t>
  </si>
  <si>
    <t xml:space="preserve">S-3781d0</t>
  </si>
  <si>
    <t xml:space="preserve">S-878fe0</t>
  </si>
  <si>
    <t xml:space="preserve">S-9b8421</t>
  </si>
  <si>
    <t xml:space="preserve">S-1862f2</t>
  </si>
  <si>
    <t xml:space="preserve">A-098560</t>
  </si>
  <si>
    <t xml:space="preserve">S-daf6aa</t>
  </si>
  <si>
    <t xml:space="preserve">S-ce61e0</t>
  </si>
  <si>
    <t xml:space="preserve">A-f3ff05</t>
  </si>
  <si>
    <t xml:space="preserve">S-5da1b8</t>
  </si>
  <si>
    <t xml:space="preserve">S-9781fe</t>
  </si>
  <si>
    <t xml:space="preserve">S-f4a4c8</t>
  </si>
  <si>
    <t xml:space="preserve">A-c37cab</t>
  </si>
  <si>
    <t xml:space="preserve">S-1e8c9e</t>
  </si>
  <si>
    <t xml:space="preserve">S-53bced</t>
  </si>
  <si>
    <t xml:space="preserve">A-a1bbb6</t>
  </si>
  <si>
    <t xml:space="preserve">S-71827b</t>
  </si>
  <si>
    <t xml:space="preserve">S-063586</t>
  </si>
  <si>
    <t xml:space="preserve">S-3223a2</t>
  </si>
  <si>
    <t xml:space="preserve">S-f6f97e</t>
  </si>
  <si>
    <t xml:space="preserve">A-02cd81</t>
  </si>
  <si>
    <t xml:space="preserve">S-9c19fe</t>
  </si>
  <si>
    <t xml:space="preserve">S-b7d291</t>
  </si>
  <si>
    <t xml:space="preserve">S-ae1278</t>
  </si>
  <si>
    <t xml:space="preserve">A-2ebb4b</t>
  </si>
  <si>
    <t xml:space="preserve">S-93ce26</t>
  </si>
  <si>
    <t xml:space="preserve">S-ff79f7</t>
  </si>
  <si>
    <t xml:space="preserve">S-d1a6c6</t>
  </si>
  <si>
    <t xml:space="preserve">A-443b7c</t>
  </si>
  <si>
    <t xml:space="preserve">S-1e83a6</t>
  </si>
  <si>
    <t xml:space="preserve">S-6c1ca5</t>
  </si>
  <si>
    <t xml:space="preserve">S-60cb51</t>
  </si>
  <si>
    <t xml:space="preserve">S-79123c</t>
  </si>
  <si>
    <t xml:space="preserve">S-8ba974</t>
  </si>
  <si>
    <t xml:space="preserve">A-cc98bc</t>
  </si>
  <si>
    <t xml:space="preserve">S-e27a20</t>
  </si>
  <si>
    <t xml:space="preserve">S-44483e</t>
  </si>
  <si>
    <t xml:space="preserve">A-bbc346</t>
  </si>
  <si>
    <t xml:space="preserve">S-618471</t>
  </si>
  <si>
    <t xml:space="preserve">S-731ee3</t>
  </si>
  <si>
    <t xml:space="preserve">S-535e55</t>
  </si>
  <si>
    <t xml:space="preserve">S-ca1cb9</t>
  </si>
  <si>
    <t xml:space="preserve">S-f22b7f</t>
  </si>
  <si>
    <t xml:space="preserve">A-b44e3e</t>
  </si>
  <si>
    <t xml:space="preserve">S-fc4ac6</t>
  </si>
  <si>
    <t xml:space="preserve">A-ac14bb</t>
  </si>
  <si>
    <t xml:space="preserve">S-039a8e</t>
  </si>
  <si>
    <t xml:space="preserve">A-331424</t>
  </si>
  <si>
    <t xml:space="preserve">S-eb23dd</t>
  </si>
  <si>
    <t xml:space="preserve">A-4ef964</t>
  </si>
  <si>
    <t xml:space="preserve">S-f84a6f</t>
  </si>
  <si>
    <t xml:space="preserve">S-87ebe6</t>
  </si>
  <si>
    <t xml:space="preserve">S-369495</t>
  </si>
  <si>
    <t xml:space="preserve">A-b3fe05</t>
  </si>
  <si>
    <t xml:space="preserve">S-275d57</t>
  </si>
  <si>
    <t xml:space="preserve">S-d19216</t>
  </si>
  <si>
    <t xml:space="preserve">A-17939a</t>
  </si>
  <si>
    <t xml:space="preserve">S-3c9178</t>
  </si>
  <si>
    <t xml:space="preserve">S-84e146</t>
  </si>
  <si>
    <t xml:space="preserve">A-d82ef9</t>
  </si>
  <si>
    <t xml:space="preserve">S-631547</t>
  </si>
  <si>
    <t xml:space="preserve">S-7de656</t>
  </si>
  <si>
    <t xml:space="preserve">S-a5a40b</t>
  </si>
  <si>
    <t xml:space="preserve">S-bc66af</t>
  </si>
  <si>
    <t xml:space="preserve">S-628729</t>
  </si>
  <si>
    <t xml:space="preserve">S-6f0169</t>
  </si>
  <si>
    <t xml:space="preserve">S-834a48</t>
  </si>
  <si>
    <t xml:space="preserve">S-82a67a</t>
  </si>
  <si>
    <t xml:space="preserve">S-6ea0ad</t>
  </si>
  <si>
    <t xml:space="preserve">S-88c79e</t>
  </si>
  <si>
    <t xml:space="preserve">A-e3bd71</t>
  </si>
  <si>
    <t xml:space="preserve">S-9bf16e</t>
  </si>
  <si>
    <t xml:space="preserve">A-533452</t>
  </si>
  <si>
    <t xml:space="preserve">S-151b22</t>
  </si>
  <si>
    <t xml:space="preserve">S-5d5a8d</t>
  </si>
  <si>
    <t xml:space="preserve">A-2922b6</t>
  </si>
  <si>
    <t xml:space="preserve">S-8dfd77</t>
  </si>
  <si>
    <t xml:space="preserve">S-7452a4</t>
  </si>
  <si>
    <t xml:space="preserve">A-118d55</t>
  </si>
  <si>
    <t xml:space="preserve">S-d7163c</t>
  </si>
  <si>
    <t xml:space="preserve">S-7b65f4</t>
  </si>
  <si>
    <t xml:space="preserve">S-8b9deb</t>
  </si>
  <si>
    <t xml:space="preserve">A-6c093d</t>
  </si>
  <si>
    <t xml:space="preserve">S-021985</t>
  </si>
  <si>
    <t xml:space="preserve">A-66224b</t>
  </si>
  <si>
    <t xml:space="preserve">S-d859b7</t>
  </si>
  <si>
    <t xml:space="preserve">S-b11cdb</t>
  </si>
  <si>
    <t xml:space="preserve">A-05d3b3</t>
  </si>
  <si>
    <t xml:space="preserve">S-4f3f73</t>
  </si>
  <si>
    <t xml:space="preserve">A-1b9609</t>
  </si>
  <si>
    <t xml:space="preserve">S-ae20d8</t>
  </si>
  <si>
    <t xml:space="preserve">A-9289f6</t>
  </si>
  <si>
    <t xml:space="preserve">S-e768c6</t>
  </si>
  <si>
    <t xml:space="preserve">S-1d081a</t>
  </si>
  <si>
    <t xml:space="preserve">A-ad3abd</t>
  </si>
  <si>
    <t xml:space="preserve">S-330457</t>
  </si>
  <si>
    <t xml:space="preserve">S-f15008</t>
  </si>
  <si>
    <t xml:space="preserve">A-0aaf6e</t>
  </si>
  <si>
    <t xml:space="preserve">S-5bc71c</t>
  </si>
  <si>
    <t xml:space="preserve">A-d77f4c</t>
  </si>
  <si>
    <t xml:space="preserve">S-52699f</t>
  </si>
  <si>
    <t xml:space="preserve">A-df10db</t>
  </si>
  <si>
    <t xml:space="preserve">S-006fed</t>
  </si>
  <si>
    <t xml:space="preserve">S-6485d5</t>
  </si>
  <si>
    <t xml:space="preserve">S-7b3fd3</t>
  </si>
  <si>
    <t xml:space="preserve">A-5a92e7</t>
  </si>
  <si>
    <t xml:space="preserve">S-a6010b</t>
  </si>
  <si>
    <t xml:space="preserve">S-195cd5</t>
  </si>
  <si>
    <t xml:space="preserve">A-ae052e</t>
  </si>
  <si>
    <t xml:space="preserve">S-504bce</t>
  </si>
  <si>
    <t xml:space="preserve">S-d88b25</t>
  </si>
  <si>
    <t xml:space="preserve">S-1b7677</t>
  </si>
  <si>
    <t xml:space="preserve">A-ced9aa</t>
  </si>
  <si>
    <t xml:space="preserve">S-b4b084</t>
  </si>
  <si>
    <t xml:space="preserve">S-b8d2f6</t>
  </si>
  <si>
    <t xml:space="preserve">S-b57a5e</t>
  </si>
  <si>
    <t xml:space="preserve">S-80c24c</t>
  </si>
  <si>
    <t xml:space="preserve">A-139c3b</t>
  </si>
  <si>
    <t xml:space="preserve">S-6fa3a3</t>
  </si>
  <si>
    <t xml:space="preserve">S-3c52a6</t>
  </si>
  <si>
    <t xml:space="preserve">S-f4e6c0</t>
  </si>
  <si>
    <t xml:space="preserve">S-47cf94</t>
  </si>
  <si>
    <t xml:space="preserve">A-e5d6ab</t>
  </si>
  <si>
    <t xml:space="preserve">S-363c29</t>
  </si>
  <si>
    <t xml:space="preserve">S-b8fcc5</t>
  </si>
  <si>
    <t xml:space="preserve">S-cd6bb6</t>
  </si>
  <si>
    <t xml:space="preserve">S-632337</t>
  </si>
  <si>
    <t xml:space="preserve">A-7da956</t>
  </si>
  <si>
    <t xml:space="preserve">S-38eb77</t>
  </si>
  <si>
    <t xml:space="preserve">A-417d2f</t>
  </si>
  <si>
    <t xml:space="preserve">S-a3ab14</t>
  </si>
  <si>
    <t xml:space="preserve">A-fdfc91</t>
  </si>
  <si>
    <t xml:space="preserve">S-38dcab</t>
  </si>
  <si>
    <t xml:space="preserve">S-48d2b5</t>
  </si>
  <si>
    <t xml:space="preserve">S-2971ae</t>
  </si>
  <si>
    <t xml:space="preserve">S-7dcec3</t>
  </si>
  <si>
    <t xml:space="preserve">S-3383a4</t>
  </si>
  <si>
    <t xml:space="preserve">S-6ef81d</t>
  </si>
  <si>
    <t xml:space="preserve">A-0b0d6d</t>
  </si>
  <si>
    <t xml:space="preserve">S-b35b20</t>
  </si>
  <si>
    <t xml:space="preserve">S-09c1df</t>
  </si>
  <si>
    <t xml:space="preserve">A-b7724f</t>
  </si>
  <si>
    <t xml:space="preserve">S-f0081e</t>
  </si>
  <si>
    <t xml:space="preserve">A-b7ef83</t>
  </si>
  <si>
    <t xml:space="preserve">S-b45bc6</t>
  </si>
  <si>
    <t xml:space="preserve">A-425e76</t>
  </si>
  <si>
    <t xml:space="preserve">S-a9bfe0</t>
  </si>
  <si>
    <t xml:space="preserve">A-4bfa33</t>
  </si>
  <si>
    <t xml:space="preserve">S-b8daaa</t>
  </si>
  <si>
    <t xml:space="preserve">S-fd12a3</t>
  </si>
  <si>
    <t xml:space="preserve">A-ed510f</t>
  </si>
  <si>
    <t xml:space="preserve">S-1f5faf</t>
  </si>
  <si>
    <t xml:space="preserve">A-34ea2f</t>
  </si>
  <si>
    <t xml:space="preserve">S-947b62</t>
  </si>
  <si>
    <t xml:space="preserve">S-3c3a3e</t>
  </si>
  <si>
    <t xml:space="preserve">S-1cf9b0</t>
  </si>
  <si>
    <t xml:space="preserve">A-922109</t>
  </si>
  <si>
    <t xml:space="preserve">S-3d8c2f</t>
  </si>
  <si>
    <t xml:space="preserve">S-8eab5b</t>
  </si>
  <si>
    <t xml:space="preserve">S-b51d34</t>
  </si>
  <si>
    <t xml:space="preserve">S-b23d8d</t>
  </si>
  <si>
    <t xml:space="preserve">S-32e881</t>
  </si>
  <si>
    <t xml:space="preserve">S-e07b30</t>
  </si>
  <si>
    <t xml:space="preserve">S-073381</t>
  </si>
  <si>
    <t xml:space="preserve">A-2bc93d</t>
  </si>
  <si>
    <t xml:space="preserve">S-337c84</t>
  </si>
  <si>
    <t xml:space="preserve">S-c22c29</t>
  </si>
  <si>
    <t xml:space="preserve">A-692f18</t>
  </si>
  <si>
    <t xml:space="preserve">S-2557d9</t>
  </si>
  <si>
    <t xml:space="preserve">S-4695b8</t>
  </si>
  <si>
    <t xml:space="preserve">A-ad64c6</t>
  </si>
  <si>
    <t xml:space="preserve">S-2fc028</t>
  </si>
  <si>
    <t xml:space="preserve">A-3b37d9</t>
  </si>
  <si>
    <t xml:space="preserve">S-30fa6f</t>
  </si>
  <si>
    <t xml:space="preserve">S-6c1ca6</t>
  </si>
  <si>
    <t xml:space="preserve">S-79ab7e</t>
  </si>
  <si>
    <t xml:space="preserve">A-956988</t>
  </si>
  <si>
    <t xml:space="preserve">S-226cf3</t>
  </si>
  <si>
    <t xml:space="preserve">S-3ec165</t>
  </si>
  <si>
    <t xml:space="preserve">A-019782</t>
  </si>
  <si>
    <t xml:space="preserve">S-5ed335</t>
  </si>
  <si>
    <t xml:space="preserve">A-7df7a7</t>
  </si>
  <si>
    <t xml:space="preserve">S-527b39</t>
  </si>
  <si>
    <t xml:space="preserve">A-3d957b</t>
  </si>
  <si>
    <t xml:space="preserve">S-6f488b</t>
  </si>
  <si>
    <t xml:space="preserve">S-094e82</t>
  </si>
  <si>
    <t xml:space="preserve">A-9ee962</t>
  </si>
  <si>
    <t xml:space="preserve">S-d3d720</t>
  </si>
  <si>
    <t xml:space="preserve">S-d9f26e</t>
  </si>
  <si>
    <t xml:space="preserve">S-af2d97</t>
  </si>
  <si>
    <t xml:space="preserve">S-beaa35</t>
  </si>
  <si>
    <t xml:space="preserve">S-91da84</t>
  </si>
  <si>
    <t xml:space="preserve">S-8464b6</t>
  </si>
  <si>
    <t xml:space="preserve">A-3932db</t>
  </si>
  <si>
    <t xml:space="preserve">S-c881bc</t>
  </si>
  <si>
    <t xml:space="preserve">S-615915</t>
  </si>
  <si>
    <t xml:space="preserve">A-eb7c38</t>
  </si>
  <si>
    <t xml:space="preserve">S-44c5dd</t>
  </si>
  <si>
    <t xml:space="preserve">S-54ac93</t>
  </si>
  <si>
    <t xml:space="preserve">A-ff3c73</t>
  </si>
  <si>
    <t xml:space="preserve">S-c2701b</t>
  </si>
  <si>
    <t xml:space="preserve">A-50bb9f</t>
  </si>
  <si>
    <t xml:space="preserve">S-b279c9</t>
  </si>
  <si>
    <t xml:space="preserve">S-ede33a</t>
  </si>
  <si>
    <t xml:space="preserve">A-202b67</t>
  </si>
  <si>
    <t xml:space="preserve">S-4c9c01</t>
  </si>
  <si>
    <t xml:space="preserve">S-9fc31d</t>
  </si>
  <si>
    <t xml:space="preserve">S-5228d6</t>
  </si>
  <si>
    <t xml:space="preserve">A-484819</t>
  </si>
  <si>
    <t xml:space="preserve">S-5bf2e5</t>
  </si>
  <si>
    <t xml:space="preserve">S-79bb4c</t>
  </si>
  <si>
    <t xml:space="preserve">A-f45426</t>
  </si>
  <si>
    <t xml:space="preserve">S-1712e6</t>
  </si>
  <si>
    <t xml:space="preserve">A-9b9fe9</t>
  </si>
  <si>
    <t xml:space="preserve">S-c41762</t>
  </si>
  <si>
    <t xml:space="preserve">S-0c5771</t>
  </si>
  <si>
    <t xml:space="preserve">A-798a3f</t>
  </si>
  <si>
    <t xml:space="preserve">S-44046d</t>
  </si>
  <si>
    <t xml:space="preserve">A-5a184f</t>
  </si>
  <si>
    <t xml:space="preserve">S-95a570</t>
  </si>
  <si>
    <t xml:space="preserve">A-56962b</t>
  </si>
  <si>
    <t xml:space="preserve">S-e1e2bf</t>
  </si>
  <si>
    <t xml:space="preserve">S-d19da0</t>
  </si>
  <si>
    <t xml:space="preserve">S-6b200f</t>
  </si>
  <si>
    <t xml:space="preserve">S-4690b3</t>
  </si>
  <si>
    <t xml:space="preserve">A-068fc6</t>
  </si>
  <si>
    <t xml:space="preserve">S-8fbabd</t>
  </si>
  <si>
    <t xml:space="preserve">A-aa9511</t>
  </si>
  <si>
    <t xml:space="preserve">S-2eb247</t>
  </si>
  <si>
    <t xml:space="preserve">A-8145a0</t>
  </si>
  <si>
    <t xml:space="preserve">S-ef7534</t>
  </si>
  <si>
    <t xml:space="preserve">A-ffdfd5</t>
  </si>
  <si>
    <t xml:space="preserve">S-14f39f</t>
  </si>
  <si>
    <t xml:space="preserve">A-9affe6</t>
  </si>
  <si>
    <t xml:space="preserve">S-00837c</t>
  </si>
  <si>
    <t xml:space="preserve">A-089363</t>
  </si>
  <si>
    <t xml:space="preserve">S-1e1853</t>
  </si>
  <si>
    <t xml:space="preserve">S-904886</t>
  </si>
  <si>
    <t xml:space="preserve">A-e36807</t>
  </si>
  <si>
    <t xml:space="preserve">S-ac4799</t>
  </si>
  <si>
    <t xml:space="preserve">A-86fc1d</t>
  </si>
  <si>
    <t xml:space="preserve">S-afc4cb</t>
  </si>
  <si>
    <t xml:space="preserve">S-da0b9b</t>
  </si>
  <si>
    <t xml:space="preserve">S-a3b329</t>
  </si>
  <si>
    <t xml:space="preserve">S-541d7a</t>
  </si>
  <si>
    <t xml:space="preserve">S-1876fb</t>
  </si>
  <si>
    <t xml:space="preserve">S-3e0991</t>
  </si>
  <si>
    <t xml:space="preserve">A-9174e0</t>
  </si>
  <si>
    <t xml:space="preserve">S-ca454e</t>
  </si>
  <si>
    <t xml:space="preserve">S-c8d680</t>
  </si>
  <si>
    <t xml:space="preserve">A-558c72</t>
  </si>
  <si>
    <t xml:space="preserve">S-ca6962</t>
  </si>
  <si>
    <t xml:space="preserve">S-9e450b</t>
  </si>
  <si>
    <t xml:space="preserve">S-3eb9c8</t>
  </si>
  <si>
    <t xml:space="preserve">S-b90a53</t>
  </si>
  <si>
    <t xml:space="preserve">S-90432a</t>
  </si>
  <si>
    <t xml:space="preserve">A-fe79a5</t>
  </si>
  <si>
    <t xml:space="preserve">S-9bd0ec</t>
  </si>
  <si>
    <t xml:space="preserve">S-e04d93</t>
  </si>
  <si>
    <t xml:space="preserve">S-b120fb</t>
  </si>
  <si>
    <t xml:space="preserve">A-f51f16</t>
  </si>
  <si>
    <t xml:space="preserve">S-e90e70</t>
  </si>
  <si>
    <t xml:space="preserve">S-703faf</t>
  </si>
  <si>
    <t xml:space="preserve">S-d76bd0</t>
  </si>
  <si>
    <t xml:space="preserve">S-7679b6</t>
  </si>
  <si>
    <t xml:space="preserve">S-326691</t>
  </si>
  <si>
    <t xml:space="preserve">A-e40f45</t>
  </si>
  <si>
    <t xml:space="preserve">S-bdf7c2</t>
  </si>
  <si>
    <t xml:space="preserve">A-c42f1f</t>
  </si>
  <si>
    <t xml:space="preserve">S-62b4fc</t>
  </si>
  <si>
    <t xml:space="preserve">S-c25d2f</t>
  </si>
  <si>
    <t xml:space="preserve">A-fabe19</t>
  </si>
  <si>
    <t xml:space="preserve">S-e0a4c5</t>
  </si>
  <si>
    <t xml:space="preserve">S-f3ff07</t>
  </si>
  <si>
    <t xml:space="preserve">A-158f4e</t>
  </si>
  <si>
    <t xml:space="preserve">S-62fa42</t>
  </si>
  <si>
    <t xml:space="preserve">A-bb1486</t>
  </si>
  <si>
    <t xml:space="preserve">S-a19f87</t>
  </si>
  <si>
    <t xml:space="preserve">S-7c2997</t>
  </si>
  <si>
    <t xml:space="preserve">S-f6edd4</t>
  </si>
  <si>
    <t xml:space="preserve">S-51673a</t>
  </si>
  <si>
    <t xml:space="preserve">S-028f5b</t>
  </si>
  <si>
    <t xml:space="preserve">A-80eeb6</t>
  </si>
  <si>
    <t xml:space="preserve">S-d26ee3</t>
  </si>
  <si>
    <t xml:space="preserve">S-df5924</t>
  </si>
  <si>
    <t xml:space="preserve">A-443f6f</t>
  </si>
  <si>
    <t xml:space="preserve">S-869978</t>
  </si>
  <si>
    <t xml:space="preserve">S-0b059f</t>
  </si>
  <si>
    <t xml:space="preserve">S-c1f160</t>
  </si>
  <si>
    <t xml:space="preserve">S-91709b</t>
  </si>
  <si>
    <t xml:space="preserve">S-f0e458</t>
  </si>
  <si>
    <t xml:space="preserve">S-766d8b</t>
  </si>
  <si>
    <t xml:space="preserve">S-c51ab8</t>
  </si>
  <si>
    <t xml:space="preserve">S-5856ab</t>
  </si>
  <si>
    <t xml:space="preserve">S-b633be</t>
  </si>
  <si>
    <t xml:space="preserve">S-4af421</t>
  </si>
  <si>
    <t xml:space="preserve">S-2e78ce</t>
  </si>
  <si>
    <t xml:space="preserve">S-b27c39</t>
  </si>
  <si>
    <t xml:space="preserve">S-62a617</t>
  </si>
  <si>
    <t xml:space="preserve">S-c8a4ff</t>
  </si>
  <si>
    <t xml:space="preserve">S-a3927a</t>
  </si>
  <si>
    <t xml:space="preserve">A-378b99</t>
  </si>
  <si>
    <t xml:space="preserve">S-bd1912</t>
  </si>
  <si>
    <t xml:space="preserve">S-e0cd01</t>
  </si>
  <si>
    <t xml:space="preserve">S-f2dd76</t>
  </si>
  <si>
    <t xml:space="preserve">S-f7fccd</t>
  </si>
  <si>
    <t xml:space="preserve">S-9ed535</t>
  </si>
  <si>
    <t xml:space="preserve">S-51cb35</t>
  </si>
  <si>
    <t xml:space="preserve">A-18793f</t>
  </si>
  <si>
    <t xml:space="preserve">S-429220</t>
  </si>
  <si>
    <t xml:space="preserve">S-cdc644</t>
  </si>
  <si>
    <t xml:space="preserve">S-9e8b22</t>
  </si>
  <si>
    <t xml:space="preserve">A-7c6b6b</t>
  </si>
  <si>
    <t xml:space="preserve">S-b81200</t>
  </si>
  <si>
    <t xml:space="preserve">S-a3cbd4</t>
  </si>
  <si>
    <t xml:space="preserve">A-42e5e1</t>
  </si>
  <si>
    <t xml:space="preserve">S-76b176</t>
  </si>
  <si>
    <t xml:space="preserve">S-f4b648</t>
  </si>
  <si>
    <t xml:space="preserve">A-8ae05d</t>
  </si>
  <si>
    <t xml:space="preserve">S-88cc86</t>
  </si>
  <si>
    <t xml:space="preserve">S-983266</t>
  </si>
  <si>
    <t xml:space="preserve">A-dcc2f0</t>
  </si>
  <si>
    <t xml:space="preserve">S-65731a</t>
  </si>
  <si>
    <t xml:space="preserve">S-1be7c5</t>
  </si>
  <si>
    <t xml:space="preserve">S-8a6579</t>
  </si>
  <si>
    <t xml:space="preserve">S-404132</t>
  </si>
  <si>
    <t xml:space="preserve">A-39ddf4</t>
  </si>
  <si>
    <t xml:space="preserve">S-96383d</t>
  </si>
  <si>
    <t xml:space="preserve">S-23d18f</t>
  </si>
  <si>
    <t xml:space="preserve">S-d396d1</t>
  </si>
  <si>
    <t xml:space="preserve">A-2edab2</t>
  </si>
  <si>
    <t xml:space="preserve">S-525d6b</t>
  </si>
  <si>
    <t xml:space="preserve">A-94f8c9</t>
  </si>
  <si>
    <t xml:space="preserve">S-975ee4</t>
  </si>
  <si>
    <t xml:space="preserve">A-a09355</t>
  </si>
  <si>
    <t xml:space="preserve">S-dccf50</t>
  </si>
  <si>
    <t xml:space="preserve">S-50c6f5</t>
  </si>
  <si>
    <t xml:space="preserve">A-a6d261</t>
  </si>
  <si>
    <t xml:space="preserve">S-58d2c8</t>
  </si>
  <si>
    <t xml:space="preserve">S-c7f2e5</t>
  </si>
  <si>
    <t xml:space="preserve">S-8c8315</t>
  </si>
  <si>
    <t xml:space="preserve">S-4e63e7</t>
  </si>
  <si>
    <t xml:space="preserve">A-a33200</t>
  </si>
  <si>
    <t xml:space="preserve">S-decbf7</t>
  </si>
  <si>
    <t xml:space="preserve">S-2f729b</t>
  </si>
  <si>
    <t xml:space="preserve">A-3be56b</t>
  </si>
  <si>
    <t xml:space="preserve">S-cf44af</t>
  </si>
  <si>
    <t xml:space="preserve">S-2e0575</t>
  </si>
  <si>
    <t xml:space="preserve">A-4814a3</t>
  </si>
  <si>
    <t xml:space="preserve">S-cd6d68</t>
  </si>
  <si>
    <t xml:space="preserve">S-aadf83</t>
  </si>
  <si>
    <t xml:space="preserve">S-ff9bde</t>
  </si>
  <si>
    <t xml:space="preserve">A-8bde0c</t>
  </si>
  <si>
    <t xml:space="preserve">S-cfd4a3</t>
  </si>
  <si>
    <t xml:space="preserve">S-08e560</t>
  </si>
  <si>
    <t xml:space="preserve">S-054897</t>
  </si>
  <si>
    <t xml:space="preserve">S-46ff9c</t>
  </si>
  <si>
    <t xml:space="preserve">S-05ad41</t>
  </si>
  <si>
    <t xml:space="preserve">S-d91f4c</t>
  </si>
  <si>
    <t xml:space="preserve">S-06770c</t>
  </si>
  <si>
    <t xml:space="preserve">S-4df118</t>
  </si>
  <si>
    <t xml:space="preserve">S-807f28</t>
  </si>
  <si>
    <t xml:space="preserve">S-d82234</t>
  </si>
  <si>
    <t xml:space="preserve">S-2361ec</t>
  </si>
  <si>
    <t xml:space="preserve">A-c45b23</t>
  </si>
  <si>
    <t xml:space="preserve">S-38c5fd</t>
  </si>
  <si>
    <t xml:space="preserve">S-8d6cec</t>
  </si>
  <si>
    <t xml:space="preserve">S-3a3be9</t>
  </si>
  <si>
    <t xml:space="preserve">A-1b707d</t>
  </si>
  <si>
    <t xml:space="preserve">S-bb7eef</t>
  </si>
  <si>
    <t xml:space="preserve">S-af6536</t>
  </si>
  <si>
    <t xml:space="preserve">S-6f47c5</t>
  </si>
  <si>
    <t xml:space="preserve">S-916cca</t>
  </si>
  <si>
    <t xml:space="preserve">A-e51ec7</t>
  </si>
  <si>
    <t xml:space="preserve">S-499ea3</t>
  </si>
  <si>
    <t xml:space="preserve">A-c16cf7</t>
  </si>
  <si>
    <t xml:space="preserve">S-30bb47</t>
  </si>
  <si>
    <t xml:space="preserve">S-6cb3d7</t>
  </si>
  <si>
    <t xml:space="preserve">S-2abab6</t>
  </si>
  <si>
    <t xml:space="preserve">S-76eded</t>
  </si>
  <si>
    <t xml:space="preserve">S-9f8b23</t>
  </si>
  <si>
    <t xml:space="preserve">A-118f1c</t>
  </si>
  <si>
    <t xml:space="preserve">S-3fb8f4</t>
  </si>
  <si>
    <t xml:space="preserve">S-904529</t>
  </si>
  <si>
    <t xml:space="preserve">S-eed91a</t>
  </si>
  <si>
    <t xml:space="preserve">S-24d48b</t>
  </si>
  <si>
    <t xml:space="preserve">S-b72911</t>
  </si>
  <si>
    <t xml:space="preserve">S-29c16b</t>
  </si>
  <si>
    <t xml:space="preserve">A-afa505</t>
  </si>
  <si>
    <t xml:space="preserve">S-2178f0</t>
  </si>
  <si>
    <t xml:space="preserve">A-b30291</t>
  </si>
  <si>
    <t xml:space="preserve">S-a2e1dd</t>
  </si>
  <si>
    <t xml:space="preserve">S-b7c506</t>
  </si>
  <si>
    <t xml:space="preserve">S-b73fdf</t>
  </si>
  <si>
    <t xml:space="preserve">S-1fb7ac</t>
  </si>
  <si>
    <t xml:space="preserve">A-117171</t>
  </si>
  <si>
    <t xml:space="preserve">S-c2a14b</t>
  </si>
  <si>
    <t xml:space="preserve">A-526d93</t>
  </si>
  <si>
    <t xml:space="preserve">S-37a9e3</t>
  </si>
  <si>
    <t xml:space="preserve">A-c608c8</t>
  </si>
  <si>
    <t xml:space="preserve">S-94c40b</t>
  </si>
  <si>
    <t xml:space="preserve">S-4ac0bb</t>
  </si>
  <si>
    <t xml:space="preserve">S-8fd696</t>
  </si>
  <si>
    <t xml:space="preserve">A-dec005</t>
  </si>
  <si>
    <t xml:space="preserve">S-529f0c</t>
  </si>
  <si>
    <t xml:space="preserve">S-a4d69d</t>
  </si>
  <si>
    <t xml:space="preserve">S-765a5f</t>
  </si>
  <si>
    <t xml:space="preserve">A-c9bb3e</t>
  </si>
  <si>
    <t xml:space="preserve">S-97fab7</t>
  </si>
  <si>
    <t xml:space="preserve">A-8ed5dd</t>
  </si>
  <si>
    <t xml:space="preserve">S-fb4fae</t>
  </si>
  <si>
    <t xml:space="preserve">S-c92099</t>
  </si>
  <si>
    <t xml:space="preserve">S-495e57</t>
  </si>
  <si>
    <t xml:space="preserve">S-8b24a0</t>
  </si>
  <si>
    <t xml:space="preserve">A-309e54</t>
  </si>
  <si>
    <t xml:space="preserve">S-e98d6b</t>
  </si>
  <si>
    <t xml:space="preserve">S-8055fa</t>
  </si>
  <si>
    <t xml:space="preserve">A-09540c</t>
  </si>
  <si>
    <t xml:space="preserve">S-c08805</t>
  </si>
  <si>
    <t xml:space="preserve">A-6f8ad2</t>
  </si>
  <si>
    <t xml:space="preserve">S-6a017c</t>
  </si>
  <si>
    <t xml:space="preserve">S-a87c2f</t>
  </si>
  <si>
    <t xml:space="preserve">A-4ae22a</t>
  </si>
  <si>
    <t xml:space="preserve">S-c86cb0</t>
  </si>
  <si>
    <t xml:space="preserve">S-54283b</t>
  </si>
  <si>
    <t xml:space="preserve">S-e339fb</t>
  </si>
  <si>
    <t xml:space="preserve">S-d1f7ad</t>
  </si>
  <si>
    <t xml:space="preserve">A-c222ab</t>
  </si>
  <si>
    <t xml:space="preserve">S-a25ed2</t>
  </si>
  <si>
    <t xml:space="preserve">S-23dab0</t>
  </si>
  <si>
    <t xml:space="preserve">S-de7a48</t>
  </si>
  <si>
    <t xml:space="preserve">A-ccc747</t>
  </si>
  <si>
    <t xml:space="preserve">S-7e09c4</t>
  </si>
  <si>
    <t xml:space="preserve">S-17c51e</t>
  </si>
  <si>
    <t xml:space="preserve">S-82c91a</t>
  </si>
  <si>
    <t xml:space="preserve">S-0455a5</t>
  </si>
  <si>
    <t xml:space="preserve">A-993085</t>
  </si>
  <si>
    <t xml:space="preserve">S-f94b9b</t>
  </si>
  <si>
    <t xml:space="preserve">S-008f3c</t>
  </si>
  <si>
    <t xml:space="preserve">A-e98302</t>
  </si>
  <si>
    <t xml:space="preserve">S-62641a</t>
  </si>
  <si>
    <t xml:space="preserve">S-b89456</t>
  </si>
  <si>
    <t xml:space="preserve">S-0abd10</t>
  </si>
  <si>
    <t xml:space="preserve">A-016043</t>
  </si>
  <si>
    <t xml:space="preserve">S-4977c8</t>
  </si>
  <si>
    <t xml:space="preserve">S-59f0a6</t>
  </si>
  <si>
    <t xml:space="preserve">A-104f1a</t>
  </si>
  <si>
    <t xml:space="preserve">S-debbee</t>
  </si>
  <si>
    <t xml:space="preserve">S-c9d323</t>
  </si>
  <si>
    <t xml:space="preserve">S-e133a5</t>
  </si>
  <si>
    <t xml:space="preserve">A-4a4c2d</t>
  </si>
  <si>
    <t xml:space="preserve">S-8789b0</t>
  </si>
  <si>
    <t xml:space="preserve">S-4ff3ae</t>
  </si>
  <si>
    <t xml:space="preserve">S-23f506</t>
  </si>
  <si>
    <t xml:space="preserve">S-593787</t>
  </si>
  <si>
    <t xml:space="preserve">S-32e8fa</t>
  </si>
  <si>
    <t xml:space="preserve">A-94d3da</t>
  </si>
  <si>
    <t xml:space="preserve">S-4b26c5</t>
  </si>
  <si>
    <t xml:space="preserve">S-a79d1f</t>
  </si>
  <si>
    <t xml:space="preserve">S-c844bd</t>
  </si>
  <si>
    <t xml:space="preserve">S-17bedf</t>
  </si>
  <si>
    <t xml:space="preserve">A-4437e4</t>
  </si>
  <si>
    <t xml:space="preserve">S-e6571c</t>
  </si>
  <si>
    <t xml:space="preserve">A-0be015</t>
  </si>
  <si>
    <t xml:space="preserve">S-f9a56a</t>
  </si>
  <si>
    <t xml:space="preserve">S-453f00</t>
  </si>
  <si>
    <t xml:space="preserve">A-45ce7a</t>
  </si>
  <si>
    <t xml:space="preserve">S-3b5eb3</t>
  </si>
  <si>
    <t xml:space="preserve">S-67c131</t>
  </si>
  <si>
    <t xml:space="preserve">S-b04b73</t>
  </si>
  <si>
    <t xml:space="preserve">S-41ea32</t>
  </si>
  <si>
    <t xml:space="preserve">A-054577</t>
  </si>
  <si>
    <t xml:space="preserve">S-8a37c8</t>
  </si>
  <si>
    <t xml:space="preserve">S-f4e174</t>
  </si>
  <si>
    <t xml:space="preserve">S-59d90a</t>
  </si>
  <si>
    <t xml:space="preserve">S-071ade</t>
  </si>
  <si>
    <t xml:space="preserve">S-db56d2</t>
  </si>
  <si>
    <t xml:space="preserve">A-c1dfe1</t>
  </si>
  <si>
    <t xml:space="preserve">S-075ffc</t>
  </si>
  <si>
    <t xml:space="preserve">S-dc9874</t>
  </si>
  <si>
    <t xml:space="preserve">A-cc102e</t>
  </si>
  <si>
    <t xml:space="preserve">S-b4cd75</t>
  </si>
  <si>
    <t xml:space="preserve">S-8669e4</t>
  </si>
  <si>
    <t xml:space="preserve">A-6dee43</t>
  </si>
  <si>
    <t xml:space="preserve">S-46dfac</t>
  </si>
  <si>
    <t xml:space="preserve">S-8442d1</t>
  </si>
  <si>
    <t xml:space="preserve">S-c7621b</t>
  </si>
  <si>
    <t xml:space="preserve">S-b0e621</t>
  </si>
  <si>
    <t xml:space="preserve">S-c2c197</t>
  </si>
  <si>
    <t xml:space="preserve">S-3ceff3</t>
  </si>
  <si>
    <t xml:space="preserve">S-65ec6b</t>
  </si>
  <si>
    <t xml:space="preserve">S-4a0cb3</t>
  </si>
  <si>
    <t xml:space="preserve">A-a1b80b</t>
  </si>
  <si>
    <t xml:space="preserve">S-e7f571</t>
  </si>
  <si>
    <t xml:space="preserve">S-966a44</t>
  </si>
  <si>
    <t xml:space="preserve">A-f5641b</t>
  </si>
  <si>
    <t xml:space="preserve">S-5ee117</t>
  </si>
  <si>
    <t xml:space="preserve">S-f7b2fc</t>
  </si>
  <si>
    <t xml:space="preserve">A-f446b6</t>
  </si>
  <si>
    <t xml:space="preserve">S-4fe9b6</t>
  </si>
  <si>
    <t xml:space="preserve">S-937207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</si>
</sst>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US$ &quot;#,##0;&quot;-US$ &quot;#,##0;\-"/>
    <numFmt numFmtId="167" formatCode="0%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6B7280"/>
        <bgColor rgb="FF878787"/>
      </patternFill>
    </fill>
    <fill>
      <patternFill patternType="solid">
        <fgColor rgb="FFB91C1C"/>
        <bgColor rgb="FF993366"/>
      </patternFill>
    </fill>
    <fill>
      <patternFill patternType="solid">
        <fgColor rgb="FF374151"/>
        <bgColor rgb="FF52514E"/>
      </patternFill>
    </fill>
    <fill>
      <patternFill patternType="solid">
        <fgColor rgb="FFEDEDED"/>
        <bgColor rgb="FFFFFFFF"/>
      </patternFill>
    </fill>
    <fill>
      <patternFill patternType="solid">
        <fgColor rgb="FF1BAF7A"/>
        <bgColor rgb="FF33CCCC"/>
      </patternFill>
    </fill>
    <fill>
      <patternFill patternType="solid">
        <fgColor rgb="FF7FC8A9"/>
        <bgColor rgb="FF9CA3AF"/>
      </patternFill>
    </fill>
    <fill>
      <patternFill patternType="solid">
        <fgColor rgb="FFEDA100"/>
        <bgColor rgb="FFFFCC00"/>
      </patternFill>
    </fill>
    <fill>
      <patternFill patternType="solid">
        <fgColor rgb="FFE34948"/>
        <bgColor rgb="FFB45309"/>
      </patternFill>
    </fill>
    <fill>
      <patternFill patternType="solid">
        <fgColor rgb="FF0E7C66"/>
        <bgColor rgb="FF008080"/>
      </patternFill>
    </fill>
    <fill>
      <patternFill patternType="solid">
        <fgColor rgb="FFB45309"/>
        <bgColor rgb="FFE349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D9D9D9"/>
      <rgbColor rgb="FF878787"/>
      <rgbColor rgb="FF9999FF"/>
      <rgbColor rgb="FFB45309"/>
      <rgbColor rgb="FFEDEDE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FC8A9"/>
      <rgbColor rgb="FFFF99CC"/>
      <rgbColor rgb="FFCC99FF"/>
      <rgbColor rgb="FFFFCC99"/>
      <rgbColor rgb="FF3366FF"/>
      <rgbColor rgb="FF33CCCC"/>
      <rgbColor rgb="FF99CC00"/>
      <rgbColor rgb="FFFFCC00"/>
      <rgbColor rgb="FFEDA100"/>
      <rgbColor rgb="FFE34948"/>
      <rgbColor rgb="FF6B7280"/>
      <rgbColor rgb="FF9CA3AF"/>
      <rgbColor rgb="FF003366"/>
      <rgbColor rgb="FF1BAF7A"/>
      <rgbColor rgb="FF003300"/>
      <rgbColor rgb="FF52514E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Assinaturas encerradas por trimestre: "churn" de hoje x perda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como contado hoje"</c:f>
              <c:strCache>
                <c:ptCount val="1"/>
                <c:pt idx="0">
                  <c:v>Churn como contado hoje</c:v>
                </c:pt>
              </c:strCache>
            </c:strRef>
          </c:tx>
          <c:spPr>
            <a:solidFill>
              <a:srgbClr val="9ca3af"/>
            </a:solidFill>
            <a:ln w="0">
              <a:solidFill>
                <a:srgbClr val="9ca3a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1_Resumo_CEO!$A$5:$A$12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1_Resumo_CEO!$B$5:$B$12</c:f>
              <c:numCache>
                <c:formatCode>#,##0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14</c:v>
                </c:pt>
                <c:pt idx="4">
                  <c:v>27</c:v>
                </c:pt>
                <c:pt idx="5">
                  <c:v>37</c:v>
                </c:pt>
                <c:pt idx="6">
                  <c:v>80</c:v>
                </c:pt>
                <c:pt idx="7">
                  <c:v>324</c:v>
                </c:pt>
              </c:numCache>
            </c:numRef>
          </c:val>
        </c:ser>
        <c:ser>
          <c:idx val="1"/>
          <c:order val="1"/>
          <c:tx>
            <c:strRef>
              <c:f>"Perda real"</c:f>
              <c:strCache>
                <c:ptCount val="1"/>
                <c:pt idx="0">
                  <c:v>Perda real</c:v>
                </c:pt>
              </c:strCache>
            </c:strRef>
          </c:tx>
          <c:spPr>
            <a:solidFill>
              <a:srgbClr val="b91c1c"/>
            </a:solidFill>
            <a:ln w="0">
              <a:solidFill>
                <a:srgbClr val="b91c1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1_Resumo_CEO!$A$5:$A$12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1_Resumo_CEO!$C$5:$C$12</c:f>
              <c:numCache>
                <c:formatCode>#,##0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20</c:v>
                </c:pt>
                <c:pt idx="5">
                  <c:v>29</c:v>
                </c:pt>
                <c:pt idx="6">
                  <c:v>43</c:v>
                </c:pt>
                <c:pt idx="7">
                  <c:v>84</c:v>
                </c:pt>
              </c:numCache>
            </c:numRef>
          </c:val>
        </c:ser>
        <c:gapWidth val="50"/>
        <c:overlap val="0"/>
        <c:axId val="51059470"/>
        <c:axId val="31942289"/>
      </c:barChart>
      <c:catAx>
        <c:axId val="510594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42289"/>
        <c:crosses val="autoZero"/>
        <c:auto val="1"/>
        <c:lblAlgn val="ctr"/>
        <c:lblOffset val="100"/>
        <c:noMultiLvlLbl val="0"/>
      </c:catAx>
      <c:valAx>
        <c:axId val="3194228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59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encerrado por trimestre (US$): "churn" de hoje x perda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como contado hoje"</c:f>
              <c:strCache>
                <c:ptCount val="1"/>
                <c:pt idx="0">
                  <c:v>Churn como contado hoje</c:v>
                </c:pt>
              </c:strCache>
            </c:strRef>
          </c:tx>
          <c:spPr>
            <a:solidFill>
              <a:srgbClr val="9ca3af"/>
            </a:solidFill>
            <a:ln w="0">
              <a:solidFill>
                <a:srgbClr val="9ca3a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1_Resumo_CEO!$A$5:$A$12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1_Resumo_CEO!$D$5:$D$12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1421</c:v>
                </c:pt>
                <c:pt idx="2">
                  <c:v>914</c:v>
                </c:pt>
                <c:pt idx="3">
                  <c:v>49160</c:v>
                </c:pt>
                <c:pt idx="4">
                  <c:v>50138</c:v>
                </c:pt>
                <c:pt idx="5">
                  <c:v>59026</c:v>
                </c:pt>
                <c:pt idx="6">
                  <c:v>146668</c:v>
                </c:pt>
                <c:pt idx="7">
                  <c:v>871812</c:v>
                </c:pt>
              </c:numCache>
            </c:numRef>
          </c:val>
        </c:ser>
        <c:ser>
          <c:idx val="1"/>
          <c:order val="1"/>
          <c:tx>
            <c:strRef>
              <c:f>"Perda real"</c:f>
              <c:strCache>
                <c:ptCount val="1"/>
                <c:pt idx="0">
                  <c:v>Perda real</c:v>
                </c:pt>
              </c:strCache>
            </c:strRef>
          </c:tx>
          <c:spPr>
            <a:solidFill>
              <a:srgbClr val="b91c1c"/>
            </a:solidFill>
            <a:ln w="0">
              <a:solidFill>
                <a:srgbClr val="b91c1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1_Resumo_CEO!$A$5:$A$12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1_Resumo_CEO!$E$5:$E$12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1421</c:v>
                </c:pt>
                <c:pt idx="2">
                  <c:v>496</c:v>
                </c:pt>
                <c:pt idx="3">
                  <c:v>46218</c:v>
                </c:pt>
                <c:pt idx="4">
                  <c:v>44828</c:v>
                </c:pt>
                <c:pt idx="5">
                  <c:v>36192</c:v>
                </c:pt>
                <c:pt idx="6">
                  <c:v>77445</c:v>
                </c:pt>
                <c:pt idx="7">
                  <c:v>331314</c:v>
                </c:pt>
              </c:numCache>
            </c:numRef>
          </c:val>
        </c:ser>
        <c:gapWidth val="50"/>
        <c:overlap val="0"/>
        <c:axId val="18975626"/>
        <c:axId val="96172091"/>
      </c:barChart>
      <c:catAx>
        <c:axId val="189756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72091"/>
        <c:crosses val="autoZero"/>
        <c:auto val="1"/>
        <c:lblAlgn val="ctr"/>
        <c:lblOffset val="100"/>
        <c:noMultiLvlLbl val="0"/>
      </c:catAx>
      <c:valAx>
        <c:axId val="9617209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756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Assinaturas encerradas por trimestre: o que era troca e o que era perda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"Migração"</c:f>
              <c:strCache>
                <c:ptCount val="1"/>
                <c:pt idx="0">
                  <c:v>Migração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2_Quantidade!$A$5:$A$12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2_Quantidade!$C$5:$C$12</c:f>
              <c:numCache>
                <c:formatCode>#,##0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31</c:v>
                </c:pt>
                <c:pt idx="7">
                  <c:v>185</c:v>
                </c:pt>
              </c:numCache>
            </c:numRef>
          </c:val>
        </c:ser>
        <c:ser>
          <c:idx val="1"/>
          <c:order val="1"/>
          <c:tx>
            <c:strRef>
              <c:f>"Compra extra desfeita"</c:f>
              <c:strCache>
                <c:ptCount val="1"/>
                <c:pt idx="0">
                  <c:v>Compra extra desfeita</c:v>
                </c:pt>
              </c:strCache>
            </c:strRef>
          </c:tx>
          <c:spPr>
            <a:solidFill>
              <a:srgbClr val="7fc8a9"/>
            </a:solidFill>
            <a:ln w="0">
              <a:solidFill>
                <a:srgbClr val="7fc8a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2_Quantidade!$A$5:$A$12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2_Quantidade!$D$5:$D$12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55</c:v>
                </c:pt>
              </c:numCache>
            </c:numRef>
          </c:val>
        </c:ser>
        <c:ser>
          <c:idx val="2"/>
          <c:order val="2"/>
          <c:tx>
            <c:strRef>
              <c:f>"Redução real"</c:f>
              <c:strCache>
                <c:ptCount val="1"/>
                <c:pt idx="0">
                  <c:v>Redução real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eda1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2_Quantidade!$A$5:$A$12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2_Quantidade!$E$5:$E$12</c:f>
              <c:numCache>
                <c:formatCode>#,##0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19</c:v>
                </c:pt>
                <c:pt idx="5">
                  <c:v>28</c:v>
                </c:pt>
                <c:pt idx="6">
                  <c:v>42</c:v>
                </c:pt>
                <c:pt idx="7">
                  <c:v>84</c:v>
                </c:pt>
              </c:numCache>
            </c:numRef>
          </c:val>
        </c:ser>
        <c:ser>
          <c:idx val="3"/>
          <c:order val="3"/>
          <c:tx>
            <c:strRef>
              <c:f>"Saída do cliente"</c:f>
              <c:strCache>
                <c:ptCount val="1"/>
                <c:pt idx="0">
                  <c:v>Saída do cliente</c:v>
                </c:pt>
              </c:strCache>
            </c:strRef>
          </c:tx>
          <c:spPr>
            <a:solidFill>
              <a:srgbClr val="e34948"/>
            </a:solidFill>
            <a:ln w="0">
              <a:solidFill>
                <a:srgbClr val="e3494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2_Quantidade!$A$5:$A$12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2_Quantidade!$F$5:$F$12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1382157"/>
        <c:axId val="95879238"/>
      </c:barChart>
      <c:catAx>
        <c:axId val="1382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79238"/>
        <c:crosses val="autoZero"/>
        <c:auto val="1"/>
        <c:lblAlgn val="ctr"/>
        <c:lblOffset val="100"/>
        <c:noMultiLvlLbl val="0"/>
      </c:catAx>
      <c:valAx>
        <c:axId val="958792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21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"Churn" de receita de hoje, aberto: o que voltou/não era perda e o que foi perda (US$ de MRR)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"Não era perda: reposto na troca"</c:f>
              <c:strCache>
                <c:ptCount val="1"/>
                <c:pt idx="0">
                  <c:v>Não era perda: reposto na troca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'3_Valor_US$'!$A$5:$A$12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'3_Valor_US$'!$L$5:$L$12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228</c:v>
                </c:pt>
                <c:pt idx="3">
                  <c:v>2942</c:v>
                </c:pt>
                <c:pt idx="4">
                  <c:v>2860</c:v>
                </c:pt>
                <c:pt idx="5">
                  <c:v>4102</c:v>
                </c:pt>
                <c:pt idx="6">
                  <c:v>61892</c:v>
                </c:pt>
                <c:pt idx="7">
                  <c:v>372023</c:v>
                </c:pt>
              </c:numCache>
            </c:numRef>
          </c:val>
        </c:ser>
        <c:ser>
          <c:idx val="1"/>
          <c:order val="1"/>
          <c:tx>
            <c:strRef>
              <c:f>"Não era perda: compra extra desfeita"</c:f>
              <c:strCache>
                <c:ptCount val="1"/>
                <c:pt idx="0">
                  <c:v>Não era perda: compra extra desfeita</c:v>
                </c:pt>
              </c:strCache>
            </c:strRef>
          </c:tx>
          <c:spPr>
            <a:solidFill>
              <a:srgbClr val="7fc8a9"/>
            </a:solidFill>
            <a:ln w="0">
              <a:solidFill>
                <a:srgbClr val="7fc8a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'3_Valor_US$'!$A$5:$A$12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'3_Valor_US$'!$F$5:$F$12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2450</c:v>
                </c:pt>
                <c:pt idx="5">
                  <c:v>2189</c:v>
                </c:pt>
                <c:pt idx="6">
                  <c:v>7331</c:v>
                </c:pt>
                <c:pt idx="7">
                  <c:v>168475</c:v>
                </c:pt>
              </c:numCache>
            </c:numRef>
          </c:val>
        </c:ser>
        <c:ser>
          <c:idx val="2"/>
          <c:order val="2"/>
          <c:tx>
            <c:strRef>
              <c:f>"Perda: diferença na troca"</c:f>
              <c:strCache>
                <c:ptCount val="1"/>
                <c:pt idx="0">
                  <c:v>Perda: diferença na troca</c:v>
                </c:pt>
              </c:strCache>
            </c:strRef>
          </c:tx>
          <c:spPr>
            <a:solidFill>
              <a:srgbClr val="b45309"/>
            </a:solidFill>
            <a:ln w="0">
              <a:solidFill>
                <a:srgbClr val="b4530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'3_Valor_US$'!$A$5:$A$12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'3_Valor_US$'!$M$5:$M$12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245</c:v>
                </c:pt>
                <c:pt idx="2">
                  <c:v>0</c:v>
                </c:pt>
                <c:pt idx="3">
                  <c:v>2141</c:v>
                </c:pt>
                <c:pt idx="4">
                  <c:v>14195</c:v>
                </c:pt>
                <c:pt idx="5">
                  <c:v>0</c:v>
                </c:pt>
                <c:pt idx="6">
                  <c:v>11919</c:v>
                </c:pt>
                <c:pt idx="7">
                  <c:v>102593</c:v>
                </c:pt>
              </c:numCache>
            </c:numRef>
          </c:val>
        </c:ser>
        <c:ser>
          <c:idx val="3"/>
          <c:order val="3"/>
          <c:tx>
            <c:strRef>
              <c:f>"Perda: redução real"</c:f>
              <c:strCache>
                <c:ptCount val="1"/>
                <c:pt idx="0">
                  <c:v>Perda: redução real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eda1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'3_Valor_US$'!$A$5:$A$12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'3_Valor_US$'!$G$5:$G$12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1176</c:v>
                </c:pt>
                <c:pt idx="2">
                  <c:v>686</c:v>
                </c:pt>
                <c:pt idx="3">
                  <c:v>31341</c:v>
                </c:pt>
                <c:pt idx="4">
                  <c:v>27449</c:v>
                </c:pt>
                <c:pt idx="5">
                  <c:v>51020</c:v>
                </c:pt>
                <c:pt idx="6">
                  <c:v>59755</c:v>
                </c:pt>
                <c:pt idx="7">
                  <c:v>228721</c:v>
                </c:pt>
              </c:numCache>
            </c:numRef>
          </c:val>
        </c:ser>
        <c:ser>
          <c:idx val="4"/>
          <c:order val="4"/>
          <c:tx>
            <c:strRef>
              <c:f>"Perda: saída do cliente"</c:f>
              <c:strCache>
                <c:ptCount val="1"/>
                <c:pt idx="0">
                  <c:v>Perda: saída do cliente</c:v>
                </c:pt>
              </c:strCache>
            </c:strRef>
          </c:tx>
          <c:spPr>
            <a:solidFill>
              <a:srgbClr val="e34948"/>
            </a:solidFill>
            <a:ln w="0">
              <a:solidFill>
                <a:srgbClr val="e3494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'3_Valor_US$'!$A$5:$A$12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'3_Valor_US$'!$H$5:$H$12</c:f>
              <c:numCache>
                <c:formatCode>"US$ "#,##0;"-US$ "#,##0;\-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12736</c:v>
                </c:pt>
                <c:pt idx="4">
                  <c:v>3184</c:v>
                </c:pt>
                <c:pt idx="5">
                  <c:v>1715</c:v>
                </c:pt>
                <c:pt idx="6">
                  <c:v>5771</c:v>
                </c:pt>
                <c:pt idx="7">
                  <c:v>0</c:v>
                </c:pt>
              </c:numCache>
            </c:numRef>
          </c:val>
        </c:ser>
        <c:gapWidth val="60"/>
        <c:overlap val="100"/>
        <c:axId val="17521131"/>
        <c:axId val="12347504"/>
      </c:barChart>
      <c:catAx>
        <c:axId val="17521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47504"/>
        <c:crosses val="autoZero"/>
        <c:auto val="1"/>
        <c:lblAlgn val="ctr"/>
        <c:lblOffset val="100"/>
        <c:noMultiLvlLbl val="0"/>
      </c:catAx>
      <c:valAx>
        <c:axId val="12347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21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145440</xdr:rowOff>
    </xdr:from>
    <xdr:to>
      <xdr:col>17</xdr:col>
      <xdr:colOff>4320</xdr:colOff>
      <xdr:row>14</xdr:row>
      <xdr:rowOff>348480</xdr:rowOff>
    </xdr:to>
    <xdr:graphicFrame>
      <xdr:nvGraphicFramePr>
        <xdr:cNvPr id="0" name="Chart 1"/>
        <xdr:cNvGraphicFramePr/>
      </xdr:nvGraphicFramePr>
      <xdr:xfrm>
        <a:off x="6461640" y="8380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145440</xdr:rowOff>
    </xdr:from>
    <xdr:to>
      <xdr:col>17</xdr:col>
      <xdr:colOff>4320</xdr:colOff>
      <xdr:row>34</xdr:row>
      <xdr:rowOff>167400</xdr:rowOff>
    </xdr:to>
    <xdr:graphicFrame>
      <xdr:nvGraphicFramePr>
        <xdr:cNvPr id="1" name="Chart 2"/>
        <xdr:cNvGraphicFramePr/>
      </xdr:nvGraphicFramePr>
      <xdr:xfrm>
        <a:off x="6461640" y="53434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145440</xdr:rowOff>
    </xdr:from>
    <xdr:to>
      <xdr:col>8</xdr:col>
      <xdr:colOff>307080</xdr:colOff>
      <xdr:row>31</xdr:row>
      <xdr:rowOff>146520</xdr:rowOff>
    </xdr:to>
    <xdr:graphicFrame>
      <xdr:nvGraphicFramePr>
        <xdr:cNvPr id="2" name="Chart 1"/>
        <xdr:cNvGraphicFramePr/>
      </xdr:nvGraphicFramePr>
      <xdr:xfrm>
        <a:off x="0" y="40194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145440</xdr:rowOff>
    </xdr:from>
    <xdr:to>
      <xdr:col>8</xdr:col>
      <xdr:colOff>463320</xdr:colOff>
      <xdr:row>33</xdr:row>
      <xdr:rowOff>125640</xdr:rowOff>
    </xdr:to>
    <xdr:graphicFrame>
      <xdr:nvGraphicFramePr>
        <xdr:cNvPr id="3" name="Chart 1"/>
        <xdr:cNvGraphicFramePr/>
      </xdr:nvGraphicFramePr>
      <xdr:xfrm>
        <a:off x="0" y="41529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ase_Encerradas" displayName="tBase_Encerradas" ref="A1:M487" headerRowCount="1" totalsRowCount="0" totalsRowShown="0">
  <autoFilter ref="A1:M487"/>
  <tableColumns count="13">
    <tableColumn id="1" name="subscription_id"/>
    <tableColumn id="2" name="account_id"/>
    <tableColumn id="3" name="plan_tier"/>
    <tableColumn id="4" name="trial"/>
    <tableColumn id="5" name="seats"/>
    <tableColumn id="6" name="mrr_amount"/>
    <tableColumn id="7" name="start_date"/>
    <tableColumn id="8" name="end_date"/>
    <tableColumn id="9" name="dias_de_vida"/>
    <tableColumn id="10" name="trimestre_fim"/>
    <tableColumn id="11" name="situacao"/>
    <tableColumn id="12" name="assinatura_nova"/>
    <tableColumn id="13" name="mrr_repost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8.5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26.85" hidden="false" customHeight="false" outlineLevel="0" collapsed="false">
      <c r="B5" s="3" t="s">
        <v>3</v>
      </c>
    </row>
    <row r="6" customFormat="false" ht="26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26.8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26.85" hidden="false" customHeight="false" outlineLevel="0" collapsed="false">
      <c r="B14" s="5" t="s">
        <v>11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0" customFormat="false" ht="26.85" hidden="false" customHeight="false" outlineLevel="0" collapsed="false">
      <c r="B20" s="3" t="s">
        <v>16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4" t="s">
        <v>17</v>
      </c>
    </row>
    <row r="23" customFormat="false" ht="26.85" hidden="false" customHeight="false" outlineLevel="0" collapsed="false">
      <c r="B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6" min="6" style="0" width="11"/>
  </cols>
  <sheetData>
    <row r="1" customFormat="false" ht="18.55" hidden="false" customHeight="false" outlineLevel="0" collapsed="false">
      <c r="A1" s="6" t="s">
        <v>19</v>
      </c>
    </row>
    <row r="2" customFormat="false" ht="36" hidden="false" customHeight="true" outlineLevel="0" collapsed="false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45.75" hidden="false" customHeight="true" outlineLevel="0" collapsed="false">
      <c r="A4" s="8" t="s">
        <v>21</v>
      </c>
      <c r="B4" s="9" t="s">
        <v>22</v>
      </c>
      <c r="C4" s="10" t="s">
        <v>23</v>
      </c>
      <c r="D4" s="9" t="s">
        <v>24</v>
      </c>
      <c r="E4" s="10" t="s">
        <v>25</v>
      </c>
      <c r="F4" s="11" t="s">
        <v>26</v>
      </c>
    </row>
    <row r="5" customFormat="false" ht="15" hidden="false" customHeight="false" outlineLevel="0" collapsed="false">
      <c r="A5" s="12" t="s">
        <v>27</v>
      </c>
      <c r="B5" s="13" t="n">
        <f aca="false">2_Quantidade!B5</f>
        <v>0</v>
      </c>
      <c r="C5" s="13" t="n">
        <f aca="false">2_Quantidade!G5</f>
        <v>0</v>
      </c>
      <c r="D5" s="14" t="n">
        <f aca="false">'3_Valor_US$'!B5</f>
        <v>0</v>
      </c>
      <c r="E5" s="14" t="n">
        <f aca="false">'3_Valor_US$'!I5</f>
        <v>0</v>
      </c>
      <c r="F5" s="15" t="str">
        <f aca="false">IF(D5&gt;0,E5/D5,"")</f>
        <v/>
      </c>
    </row>
    <row r="6" customFormat="false" ht="15" hidden="false" customHeight="false" outlineLevel="0" collapsed="false">
      <c r="A6" s="12" t="s">
        <v>28</v>
      </c>
      <c r="B6" s="13" t="n">
        <f aca="false">2_Quantidade!B6</f>
        <v>2</v>
      </c>
      <c r="C6" s="13" t="n">
        <f aca="false">2_Quantidade!G6</f>
        <v>1</v>
      </c>
      <c r="D6" s="14" t="n">
        <f aca="false">'3_Valor_US$'!B6</f>
        <v>1421</v>
      </c>
      <c r="E6" s="14" t="n">
        <f aca="false">'3_Valor_US$'!I6</f>
        <v>1421</v>
      </c>
      <c r="F6" s="15" t="n">
        <f aca="false">IF(D6&gt;0,E6/D6,"")</f>
        <v>1</v>
      </c>
    </row>
    <row r="7" customFormat="false" ht="15" hidden="false" customHeight="false" outlineLevel="0" collapsed="false">
      <c r="A7" s="12" t="s">
        <v>29</v>
      </c>
      <c r="B7" s="13" t="n">
        <f aca="false">2_Quantidade!B7</f>
        <v>2</v>
      </c>
      <c r="C7" s="13" t="n">
        <f aca="false">2_Quantidade!G7</f>
        <v>1</v>
      </c>
      <c r="D7" s="14" t="n">
        <f aca="false">'3_Valor_US$'!B7</f>
        <v>914</v>
      </c>
      <c r="E7" s="14" t="n">
        <f aca="false">'3_Valor_US$'!I7</f>
        <v>496</v>
      </c>
      <c r="F7" s="15" t="n">
        <f aca="false">IF(D7&gt;0,E7/D7,"")</f>
        <v>0.542669584245077</v>
      </c>
    </row>
    <row r="8" customFormat="false" ht="15" hidden="false" customHeight="false" outlineLevel="0" collapsed="false">
      <c r="A8" s="12" t="s">
        <v>30</v>
      </c>
      <c r="B8" s="13" t="n">
        <f aca="false">2_Quantidade!B8</f>
        <v>14</v>
      </c>
      <c r="C8" s="13" t="n">
        <f aca="false">2_Quantidade!G8</f>
        <v>11</v>
      </c>
      <c r="D8" s="14" t="n">
        <f aca="false">'3_Valor_US$'!B8</f>
        <v>49160</v>
      </c>
      <c r="E8" s="14" t="n">
        <f aca="false">'3_Valor_US$'!I8</f>
        <v>46218</v>
      </c>
      <c r="F8" s="15" t="n">
        <f aca="false">IF(D8&gt;0,E8/D8,"")</f>
        <v>0.940154597233523</v>
      </c>
    </row>
    <row r="9" customFormat="false" ht="15" hidden="false" customHeight="false" outlineLevel="0" collapsed="false">
      <c r="A9" s="12" t="s">
        <v>31</v>
      </c>
      <c r="B9" s="13" t="n">
        <f aca="false">2_Quantidade!B9</f>
        <v>27</v>
      </c>
      <c r="C9" s="13" t="n">
        <f aca="false">2_Quantidade!G9</f>
        <v>20</v>
      </c>
      <c r="D9" s="14" t="n">
        <f aca="false">'3_Valor_US$'!B9</f>
        <v>50138</v>
      </c>
      <c r="E9" s="14" t="n">
        <f aca="false">'3_Valor_US$'!I9</f>
        <v>44828</v>
      </c>
      <c r="F9" s="15" t="n">
        <f aca="false">IF(D9&gt;0,E9/D9,"")</f>
        <v>0.894092305237544</v>
      </c>
    </row>
    <row r="10" customFormat="false" ht="15" hidden="false" customHeight="false" outlineLevel="0" collapsed="false">
      <c r="A10" s="12" t="s">
        <v>32</v>
      </c>
      <c r="B10" s="13" t="n">
        <f aca="false">2_Quantidade!B10</f>
        <v>37</v>
      </c>
      <c r="C10" s="13" t="n">
        <f aca="false">2_Quantidade!G10</f>
        <v>29</v>
      </c>
      <c r="D10" s="14" t="n">
        <f aca="false">'3_Valor_US$'!B10</f>
        <v>59026</v>
      </c>
      <c r="E10" s="14" t="n">
        <f aca="false">'3_Valor_US$'!I10</f>
        <v>36192</v>
      </c>
      <c r="F10" s="15" t="n">
        <f aca="false">IF(D10&gt;0,E10/D10,"")</f>
        <v>0.613153525565005</v>
      </c>
    </row>
    <row r="11" customFormat="false" ht="15" hidden="false" customHeight="false" outlineLevel="0" collapsed="false">
      <c r="A11" s="12" t="s">
        <v>33</v>
      </c>
      <c r="B11" s="13" t="n">
        <f aca="false">2_Quantidade!B11</f>
        <v>80</v>
      </c>
      <c r="C11" s="13" t="n">
        <f aca="false">2_Quantidade!G11</f>
        <v>43</v>
      </c>
      <c r="D11" s="14" t="n">
        <f aca="false">'3_Valor_US$'!B11</f>
        <v>146668</v>
      </c>
      <c r="E11" s="14" t="n">
        <f aca="false">'3_Valor_US$'!I11</f>
        <v>77445</v>
      </c>
      <c r="F11" s="15" t="n">
        <f aca="false">IF(D11&gt;0,E11/D11,"")</f>
        <v>0.528029290642812</v>
      </c>
    </row>
    <row r="12" customFormat="false" ht="15" hidden="false" customHeight="false" outlineLevel="0" collapsed="false">
      <c r="A12" s="12" t="s">
        <v>34</v>
      </c>
      <c r="B12" s="13" t="n">
        <f aca="false">2_Quantidade!B12</f>
        <v>324</v>
      </c>
      <c r="C12" s="13" t="n">
        <f aca="false">2_Quantidade!G12</f>
        <v>84</v>
      </c>
      <c r="D12" s="14" t="n">
        <f aca="false">'3_Valor_US$'!B12</f>
        <v>871812</v>
      </c>
      <c r="E12" s="14" t="n">
        <f aca="false">'3_Valor_US$'!I12</f>
        <v>331314</v>
      </c>
      <c r="F12" s="15" t="n">
        <f aca="false">IF(D12&gt;0,E12/D12,"")</f>
        <v>0.380029180603158</v>
      </c>
    </row>
    <row r="13" customFormat="false" ht="15" hidden="false" customHeight="false" outlineLevel="0" collapsed="false">
      <c r="A13" s="16" t="s">
        <v>35</v>
      </c>
      <c r="B13" s="17" t="n">
        <f aca="false">SUM(B5:B12)</f>
        <v>486</v>
      </c>
      <c r="C13" s="17" t="n">
        <f aca="false">SUM(C5:C12)</f>
        <v>189</v>
      </c>
      <c r="D13" s="18" t="n">
        <f aca="false">SUM(D5:D12)</f>
        <v>1179139</v>
      </c>
      <c r="E13" s="18" t="n">
        <f aca="false">SUM(E5:E12)</f>
        <v>537914</v>
      </c>
      <c r="F13" s="19" t="n">
        <f aca="false">E13/D13</f>
        <v>0.456192187689492</v>
      </c>
    </row>
    <row r="15" customFormat="false" ht="84" hidden="false" customHeight="true" outlineLevel="0" collapsed="false">
      <c r="A15" s="7" t="s">
        <v>36</v>
      </c>
      <c r="B15" s="7"/>
      <c r="C15" s="7"/>
      <c r="D15" s="7"/>
      <c r="E15" s="7"/>
      <c r="F15" s="7"/>
    </row>
  </sheetData>
  <mergeCells count="2">
    <mergeCell ref="A2:K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6" min="3" style="0" width="12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18.55" hidden="false" customHeight="false" outlineLevel="0" collapsed="false">
      <c r="A1" s="6" t="s">
        <v>37</v>
      </c>
    </row>
    <row r="2" customFormat="false" ht="63.75" hidden="false" customHeight="true" outlineLevel="0" collapsed="false">
      <c r="A2" s="7" t="s">
        <v>38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57.75" hidden="false" customHeight="true" outlineLevel="0" collapsed="false">
      <c r="A4" s="8" t="s">
        <v>39</v>
      </c>
      <c r="B4" s="9" t="s">
        <v>40</v>
      </c>
      <c r="C4" s="20" t="s">
        <v>41</v>
      </c>
      <c r="D4" s="21" t="s">
        <v>42</v>
      </c>
      <c r="E4" s="22" t="s">
        <v>43</v>
      </c>
      <c r="F4" s="23" t="s">
        <v>44</v>
      </c>
      <c r="G4" s="10" t="s">
        <v>45</v>
      </c>
      <c r="H4" s="24" t="s">
        <v>46</v>
      </c>
      <c r="I4" s="11" t="s">
        <v>47</v>
      </c>
    </row>
    <row r="5" customFormat="false" ht="15" hidden="false" customHeight="false" outlineLevel="0" collapsed="false">
      <c r="A5" s="12" t="s">
        <v>27</v>
      </c>
      <c r="B5" s="13" t="n">
        <f aca="false">COUNTIFS(Base_Encerradas!$J$2:$J$487,$A5)</f>
        <v>0</v>
      </c>
      <c r="C5" s="13" t="n">
        <f aca="false">COUNTIFS(Base_Encerradas!$J$2:$J$487,$A5,Base_Encerradas!$K$2:$K$487,"Migração")</f>
        <v>0</v>
      </c>
      <c r="D5" s="13" t="n">
        <f aca="false">COUNTIFS(Base_Encerradas!$J$2:$J$487,$A5,Base_Encerradas!$K$2:$K$487,"Compra extra desfeita")</f>
        <v>0</v>
      </c>
      <c r="E5" s="13" t="n">
        <f aca="false">COUNTIFS(Base_Encerradas!$J$2:$J$487,$A5,Base_Encerradas!$K$2:$K$487,"Redução real")</f>
        <v>0</v>
      </c>
      <c r="F5" s="13" t="n">
        <f aca="false">COUNTIFS(Base_Encerradas!$J$2:$J$487,$A5,Base_Encerradas!$K$2:$K$487,"Saída do cliente")</f>
        <v>0</v>
      </c>
      <c r="G5" s="25" t="n">
        <f aca="false">E5+F5</f>
        <v>0</v>
      </c>
      <c r="H5" s="13" t="n">
        <f aca="false">C5+D5</f>
        <v>0</v>
      </c>
      <c r="I5" s="15" t="str">
        <f aca="false">IF(B5&gt;0,G5/B5,"")</f>
        <v/>
      </c>
    </row>
    <row r="6" customFormat="false" ht="15" hidden="false" customHeight="false" outlineLevel="0" collapsed="false">
      <c r="A6" s="12" t="s">
        <v>28</v>
      </c>
      <c r="B6" s="13" t="n">
        <f aca="false">COUNTIFS(Base_Encerradas!$J$2:$J$487,$A6)</f>
        <v>2</v>
      </c>
      <c r="C6" s="13" t="n">
        <f aca="false">COUNTIFS(Base_Encerradas!$J$2:$J$487,$A6,Base_Encerradas!$K$2:$K$487,"Migração")</f>
        <v>1</v>
      </c>
      <c r="D6" s="13" t="n">
        <f aca="false">COUNTIFS(Base_Encerradas!$J$2:$J$487,$A6,Base_Encerradas!$K$2:$K$487,"Compra extra desfeita")</f>
        <v>0</v>
      </c>
      <c r="E6" s="13" t="n">
        <f aca="false">COUNTIFS(Base_Encerradas!$J$2:$J$487,$A6,Base_Encerradas!$K$2:$K$487,"Redução real")</f>
        <v>1</v>
      </c>
      <c r="F6" s="13" t="n">
        <f aca="false">COUNTIFS(Base_Encerradas!$J$2:$J$487,$A6,Base_Encerradas!$K$2:$K$487,"Saída do cliente")</f>
        <v>0</v>
      </c>
      <c r="G6" s="25" t="n">
        <f aca="false">E6+F6</f>
        <v>1</v>
      </c>
      <c r="H6" s="13" t="n">
        <f aca="false">C6+D6</f>
        <v>1</v>
      </c>
      <c r="I6" s="15" t="n">
        <f aca="false">IF(B6&gt;0,G6/B6,"")</f>
        <v>0.5</v>
      </c>
    </row>
    <row r="7" customFormat="false" ht="15" hidden="false" customHeight="false" outlineLevel="0" collapsed="false">
      <c r="A7" s="12" t="s">
        <v>29</v>
      </c>
      <c r="B7" s="13" t="n">
        <f aca="false">COUNTIFS(Base_Encerradas!$J$2:$J$487,$A7)</f>
        <v>2</v>
      </c>
      <c r="C7" s="13" t="n">
        <f aca="false">COUNTIFS(Base_Encerradas!$J$2:$J$487,$A7,Base_Encerradas!$K$2:$K$487,"Migração")</f>
        <v>1</v>
      </c>
      <c r="D7" s="13" t="n">
        <f aca="false">COUNTIFS(Base_Encerradas!$J$2:$J$487,$A7,Base_Encerradas!$K$2:$K$487,"Compra extra desfeita")</f>
        <v>0</v>
      </c>
      <c r="E7" s="13" t="n">
        <f aca="false">COUNTIFS(Base_Encerradas!$J$2:$J$487,$A7,Base_Encerradas!$K$2:$K$487,"Redução real")</f>
        <v>1</v>
      </c>
      <c r="F7" s="13" t="n">
        <f aca="false">COUNTIFS(Base_Encerradas!$J$2:$J$487,$A7,Base_Encerradas!$K$2:$K$487,"Saída do cliente")</f>
        <v>0</v>
      </c>
      <c r="G7" s="25" t="n">
        <f aca="false">E7+F7</f>
        <v>1</v>
      </c>
      <c r="H7" s="13" t="n">
        <f aca="false">C7+D7</f>
        <v>1</v>
      </c>
      <c r="I7" s="15" t="n">
        <f aca="false">IF(B7&gt;0,G7/B7,"")</f>
        <v>0.5</v>
      </c>
    </row>
    <row r="8" customFormat="false" ht="15" hidden="false" customHeight="false" outlineLevel="0" collapsed="false">
      <c r="A8" s="12" t="s">
        <v>30</v>
      </c>
      <c r="B8" s="13" t="n">
        <f aca="false">COUNTIFS(Base_Encerradas!$J$2:$J$487,$A8)</f>
        <v>14</v>
      </c>
      <c r="C8" s="13" t="n">
        <f aca="false">COUNTIFS(Base_Encerradas!$J$2:$J$487,$A8,Base_Encerradas!$K$2:$K$487,"Migração")</f>
        <v>3</v>
      </c>
      <c r="D8" s="13" t="n">
        <f aca="false">COUNTIFS(Base_Encerradas!$J$2:$J$487,$A8,Base_Encerradas!$K$2:$K$487,"Compra extra desfeita")</f>
        <v>0</v>
      </c>
      <c r="E8" s="13" t="n">
        <f aca="false">COUNTIFS(Base_Encerradas!$J$2:$J$487,$A8,Base_Encerradas!$K$2:$K$487,"Redução real")</f>
        <v>10</v>
      </c>
      <c r="F8" s="13" t="n">
        <f aca="false">COUNTIFS(Base_Encerradas!$J$2:$J$487,$A8,Base_Encerradas!$K$2:$K$487,"Saída do cliente")</f>
        <v>1</v>
      </c>
      <c r="G8" s="25" t="n">
        <f aca="false">E8+F8</f>
        <v>11</v>
      </c>
      <c r="H8" s="13" t="n">
        <f aca="false">C8+D8</f>
        <v>3</v>
      </c>
      <c r="I8" s="15" t="n">
        <f aca="false">IF(B8&gt;0,G8/B8,"")</f>
        <v>0.785714285714286</v>
      </c>
    </row>
    <row r="9" customFormat="false" ht="15" hidden="false" customHeight="false" outlineLevel="0" collapsed="false">
      <c r="A9" s="12" t="s">
        <v>31</v>
      </c>
      <c r="B9" s="13" t="n">
        <f aca="false">COUNTIFS(Base_Encerradas!$J$2:$J$487,$A9)</f>
        <v>27</v>
      </c>
      <c r="C9" s="13" t="n">
        <f aca="false">COUNTIFS(Base_Encerradas!$J$2:$J$487,$A9,Base_Encerradas!$K$2:$K$487,"Migração")</f>
        <v>5</v>
      </c>
      <c r="D9" s="13" t="n">
        <f aca="false">COUNTIFS(Base_Encerradas!$J$2:$J$487,$A9,Base_Encerradas!$K$2:$K$487,"Compra extra desfeita")</f>
        <v>2</v>
      </c>
      <c r="E9" s="13" t="n">
        <f aca="false">COUNTIFS(Base_Encerradas!$J$2:$J$487,$A9,Base_Encerradas!$K$2:$K$487,"Redução real")</f>
        <v>19</v>
      </c>
      <c r="F9" s="13" t="n">
        <f aca="false">COUNTIFS(Base_Encerradas!$J$2:$J$487,$A9,Base_Encerradas!$K$2:$K$487,"Saída do cliente")</f>
        <v>1</v>
      </c>
      <c r="G9" s="25" t="n">
        <f aca="false">E9+F9</f>
        <v>20</v>
      </c>
      <c r="H9" s="13" t="n">
        <f aca="false">C9+D9</f>
        <v>7</v>
      </c>
      <c r="I9" s="15" t="n">
        <f aca="false">IF(B9&gt;0,G9/B9,"")</f>
        <v>0.740740740740741</v>
      </c>
    </row>
    <row r="10" customFormat="false" ht="15" hidden="false" customHeight="false" outlineLevel="0" collapsed="false">
      <c r="A10" s="12" t="s">
        <v>32</v>
      </c>
      <c r="B10" s="13" t="n">
        <f aca="false">COUNTIFS(Base_Encerradas!$J$2:$J$487,$A10)</f>
        <v>37</v>
      </c>
      <c r="C10" s="13" t="n">
        <f aca="false">COUNTIFS(Base_Encerradas!$J$2:$J$487,$A10,Base_Encerradas!$K$2:$K$487,"Migração")</f>
        <v>7</v>
      </c>
      <c r="D10" s="13" t="n">
        <f aca="false">COUNTIFS(Base_Encerradas!$J$2:$J$487,$A10,Base_Encerradas!$K$2:$K$487,"Compra extra desfeita")</f>
        <v>1</v>
      </c>
      <c r="E10" s="13" t="n">
        <f aca="false">COUNTIFS(Base_Encerradas!$J$2:$J$487,$A10,Base_Encerradas!$K$2:$K$487,"Redução real")</f>
        <v>28</v>
      </c>
      <c r="F10" s="13" t="n">
        <f aca="false">COUNTIFS(Base_Encerradas!$J$2:$J$487,$A10,Base_Encerradas!$K$2:$K$487,"Saída do cliente")</f>
        <v>1</v>
      </c>
      <c r="G10" s="25" t="n">
        <f aca="false">E10+F10</f>
        <v>29</v>
      </c>
      <c r="H10" s="13" t="n">
        <f aca="false">C10+D10</f>
        <v>8</v>
      </c>
      <c r="I10" s="15" t="n">
        <f aca="false">IF(B10&gt;0,G10/B10,"")</f>
        <v>0.783783783783784</v>
      </c>
    </row>
    <row r="11" customFormat="false" ht="15" hidden="false" customHeight="false" outlineLevel="0" collapsed="false">
      <c r="A11" s="12" t="s">
        <v>33</v>
      </c>
      <c r="B11" s="13" t="n">
        <f aca="false">COUNTIFS(Base_Encerradas!$J$2:$J$487,$A11)</f>
        <v>80</v>
      </c>
      <c r="C11" s="13" t="n">
        <f aca="false">COUNTIFS(Base_Encerradas!$J$2:$J$487,$A11,Base_Encerradas!$K$2:$K$487,"Migração")</f>
        <v>31</v>
      </c>
      <c r="D11" s="13" t="n">
        <f aca="false">COUNTIFS(Base_Encerradas!$J$2:$J$487,$A11,Base_Encerradas!$K$2:$K$487,"Compra extra desfeita")</f>
        <v>6</v>
      </c>
      <c r="E11" s="13" t="n">
        <f aca="false">COUNTIFS(Base_Encerradas!$J$2:$J$487,$A11,Base_Encerradas!$K$2:$K$487,"Redução real")</f>
        <v>42</v>
      </c>
      <c r="F11" s="13" t="n">
        <f aca="false">COUNTIFS(Base_Encerradas!$J$2:$J$487,$A11,Base_Encerradas!$K$2:$K$487,"Saída do cliente")</f>
        <v>1</v>
      </c>
      <c r="G11" s="25" t="n">
        <f aca="false">E11+F11</f>
        <v>43</v>
      </c>
      <c r="H11" s="13" t="n">
        <f aca="false">C11+D11</f>
        <v>37</v>
      </c>
      <c r="I11" s="15" t="n">
        <f aca="false">IF(B11&gt;0,G11/B11,"")</f>
        <v>0.5375</v>
      </c>
    </row>
    <row r="12" customFormat="false" ht="15" hidden="false" customHeight="false" outlineLevel="0" collapsed="false">
      <c r="A12" s="12" t="s">
        <v>34</v>
      </c>
      <c r="B12" s="13" t="n">
        <f aca="false">COUNTIFS(Base_Encerradas!$J$2:$J$487,$A12)</f>
        <v>324</v>
      </c>
      <c r="C12" s="13" t="n">
        <f aca="false">COUNTIFS(Base_Encerradas!$J$2:$J$487,$A12,Base_Encerradas!$K$2:$K$487,"Migração")</f>
        <v>185</v>
      </c>
      <c r="D12" s="13" t="n">
        <f aca="false">COUNTIFS(Base_Encerradas!$J$2:$J$487,$A12,Base_Encerradas!$K$2:$K$487,"Compra extra desfeita")</f>
        <v>55</v>
      </c>
      <c r="E12" s="13" t="n">
        <f aca="false">COUNTIFS(Base_Encerradas!$J$2:$J$487,$A12,Base_Encerradas!$K$2:$K$487,"Redução real")</f>
        <v>84</v>
      </c>
      <c r="F12" s="13" t="n">
        <f aca="false">COUNTIFS(Base_Encerradas!$J$2:$J$487,$A12,Base_Encerradas!$K$2:$K$487,"Saída do cliente")</f>
        <v>0</v>
      </c>
      <c r="G12" s="25" t="n">
        <f aca="false">E12+F12</f>
        <v>84</v>
      </c>
      <c r="H12" s="13" t="n">
        <f aca="false">C12+D12</f>
        <v>240</v>
      </c>
      <c r="I12" s="15" t="n">
        <f aca="false">IF(B12&gt;0,G12/B12,"")</f>
        <v>0.259259259259259</v>
      </c>
    </row>
    <row r="13" customFormat="false" ht="15" hidden="false" customHeight="false" outlineLevel="0" collapsed="false">
      <c r="A13" s="16" t="s">
        <v>35</v>
      </c>
      <c r="B13" s="17" t="n">
        <f aca="false">SUM(B5:B12)</f>
        <v>486</v>
      </c>
      <c r="C13" s="17" t="n">
        <f aca="false">SUM(C5:C12)</f>
        <v>233</v>
      </c>
      <c r="D13" s="17" t="n">
        <f aca="false">SUM(D5:D12)</f>
        <v>64</v>
      </c>
      <c r="E13" s="17" t="n">
        <f aca="false">SUM(E5:E12)</f>
        <v>185</v>
      </c>
      <c r="F13" s="17" t="n">
        <f aca="false">SUM(F5:F12)</f>
        <v>4</v>
      </c>
      <c r="G13" s="17" t="n">
        <f aca="false">SUM(G5:G12)</f>
        <v>189</v>
      </c>
      <c r="H13" s="17" t="n">
        <f aca="false">SUM(H5:H12)</f>
        <v>297</v>
      </c>
      <c r="I13" s="19" t="n">
        <f aca="false">G13/B13</f>
        <v>0.388888888888889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12"/>
  </cols>
  <sheetData>
    <row r="1" customFormat="false" ht="18.55" hidden="false" customHeight="false" outlineLevel="0" collapsed="false">
      <c r="A1" s="6" t="s">
        <v>48</v>
      </c>
    </row>
    <row r="2" customFormat="false" ht="55.5" hidden="false" customHeight="true" outlineLevel="0" collapsed="false">
      <c r="A2" s="7" t="s">
        <v>49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63.75" hidden="false" customHeight="true" outlineLevel="0" collapsed="false">
      <c r="A4" s="8" t="s">
        <v>39</v>
      </c>
      <c r="B4" s="9" t="s">
        <v>50</v>
      </c>
      <c r="C4" s="20" t="s">
        <v>51</v>
      </c>
      <c r="D4" s="20" t="s">
        <v>52</v>
      </c>
      <c r="E4" s="26" t="s">
        <v>53</v>
      </c>
      <c r="F4" s="21" t="s">
        <v>42</v>
      </c>
      <c r="G4" s="22" t="s">
        <v>43</v>
      </c>
      <c r="H4" s="23" t="s">
        <v>44</v>
      </c>
      <c r="I4" s="10" t="s">
        <v>54</v>
      </c>
      <c r="J4" s="24" t="s">
        <v>55</v>
      </c>
      <c r="K4" s="11" t="s">
        <v>47</v>
      </c>
      <c r="L4" s="27" t="s">
        <v>56</v>
      </c>
      <c r="M4" s="27" t="s">
        <v>57</v>
      </c>
      <c r="N4" s="27" t="s">
        <v>58</v>
      </c>
    </row>
    <row r="5" customFormat="false" ht="15" hidden="false" customHeight="false" outlineLevel="0" collapsed="false">
      <c r="A5" s="12" t="s">
        <v>27</v>
      </c>
      <c r="B5" s="14" t="n">
        <f aca="false">SUMIFS(Base_Encerradas!$F$2:$F$487,Base_Encerradas!$J$2:$J$487,$A5)</f>
        <v>0</v>
      </c>
      <c r="C5" s="14" t="n">
        <f aca="false">SUMIFS(Base_Encerradas!$F$2:$F$487,Base_Encerradas!$J$2:$J$487,$A5,Base_Encerradas!$K$2:$K$487,"Migração")</f>
        <v>0</v>
      </c>
      <c r="D5" s="14" t="n">
        <f aca="false">SUMIFS(Base_Encerradas!$M$2:$M$487,Base_Encerradas!$J$2:$J$487,$A5,Base_Encerradas!$K$2:$K$487,"Migração")</f>
        <v>0</v>
      </c>
      <c r="E5" s="14" t="n">
        <f aca="false">C5-D5</f>
        <v>0</v>
      </c>
      <c r="F5" s="14" t="n">
        <f aca="false">SUMIFS(Base_Encerradas!$F$2:$F$487,Base_Encerradas!$J$2:$J$487,$A5,Base_Encerradas!$K$2:$K$487,"Compra extra desfeita")</f>
        <v>0</v>
      </c>
      <c r="G5" s="14" t="n">
        <f aca="false">SUMIFS(Base_Encerradas!$F$2:$F$487,Base_Encerradas!$J$2:$J$487,$A5,Base_Encerradas!$K$2:$K$487,"Redução real")</f>
        <v>0</v>
      </c>
      <c r="H5" s="14" t="n">
        <f aca="false">SUMIFS(Base_Encerradas!$F$2:$F$487,Base_Encerradas!$J$2:$J$487,$A5,Base_Encerradas!$K$2:$K$487,"Saída do cliente")</f>
        <v>0</v>
      </c>
      <c r="I5" s="28" t="n">
        <f aca="false">E5+G5+H5</f>
        <v>0</v>
      </c>
      <c r="J5" s="14" t="n">
        <f aca="false">B5-I5</f>
        <v>0</v>
      </c>
      <c r="K5" s="15" t="str">
        <f aca="false">IF(B5&gt;0,I5/B5,"")</f>
        <v/>
      </c>
      <c r="L5" s="14" t="n">
        <f aca="false">MIN(C5,D5)</f>
        <v>0</v>
      </c>
      <c r="M5" s="14" t="n">
        <f aca="false">MAX(0,E5)</f>
        <v>0</v>
      </c>
      <c r="N5" s="14" t="n">
        <f aca="false">MAX(0,-E5)</f>
        <v>-0</v>
      </c>
    </row>
    <row r="6" customFormat="false" ht="15" hidden="false" customHeight="false" outlineLevel="0" collapsed="false">
      <c r="A6" s="12" t="s">
        <v>28</v>
      </c>
      <c r="B6" s="14" t="n">
        <f aca="false">SUMIFS(Base_Encerradas!$F$2:$F$487,Base_Encerradas!$J$2:$J$487,$A6)</f>
        <v>1421</v>
      </c>
      <c r="C6" s="14" t="n">
        <f aca="false">SUMIFS(Base_Encerradas!$F$2:$F$487,Base_Encerradas!$J$2:$J$487,$A6,Base_Encerradas!$K$2:$K$487,"Migração")</f>
        <v>245</v>
      </c>
      <c r="D6" s="14" t="n">
        <f aca="false">SUMIFS(Base_Encerradas!$M$2:$M$487,Base_Encerradas!$J$2:$J$487,$A6,Base_Encerradas!$K$2:$K$487,"Migração")</f>
        <v>0</v>
      </c>
      <c r="E6" s="14" t="n">
        <f aca="false">C6-D6</f>
        <v>245</v>
      </c>
      <c r="F6" s="14" t="n">
        <f aca="false">SUMIFS(Base_Encerradas!$F$2:$F$487,Base_Encerradas!$J$2:$J$487,$A6,Base_Encerradas!$K$2:$K$487,"Compra extra desfeita")</f>
        <v>0</v>
      </c>
      <c r="G6" s="14" t="n">
        <f aca="false">SUMIFS(Base_Encerradas!$F$2:$F$487,Base_Encerradas!$J$2:$J$487,$A6,Base_Encerradas!$K$2:$K$487,"Redução real")</f>
        <v>1176</v>
      </c>
      <c r="H6" s="14" t="n">
        <f aca="false">SUMIFS(Base_Encerradas!$F$2:$F$487,Base_Encerradas!$J$2:$J$487,$A6,Base_Encerradas!$K$2:$K$487,"Saída do cliente")</f>
        <v>0</v>
      </c>
      <c r="I6" s="28" t="n">
        <f aca="false">E6+G6+H6</f>
        <v>1421</v>
      </c>
      <c r="J6" s="14" t="n">
        <f aca="false">B6-I6</f>
        <v>0</v>
      </c>
      <c r="K6" s="15" t="n">
        <f aca="false">IF(B6&gt;0,I6/B6,"")</f>
        <v>1</v>
      </c>
      <c r="L6" s="14" t="n">
        <f aca="false">MIN(C6,D6)</f>
        <v>0</v>
      </c>
      <c r="M6" s="14" t="n">
        <f aca="false">MAX(0,E6)</f>
        <v>245</v>
      </c>
      <c r="N6" s="14" t="n">
        <f aca="false">MAX(0,-E6)</f>
        <v>0</v>
      </c>
    </row>
    <row r="7" customFormat="false" ht="15" hidden="false" customHeight="false" outlineLevel="0" collapsed="false">
      <c r="A7" s="12" t="s">
        <v>29</v>
      </c>
      <c r="B7" s="14" t="n">
        <f aca="false">SUMIFS(Base_Encerradas!$F$2:$F$487,Base_Encerradas!$J$2:$J$487,$A7)</f>
        <v>914</v>
      </c>
      <c r="C7" s="14" t="n">
        <f aca="false">SUMIFS(Base_Encerradas!$F$2:$F$487,Base_Encerradas!$J$2:$J$487,$A7,Base_Encerradas!$K$2:$K$487,"Migração")</f>
        <v>228</v>
      </c>
      <c r="D7" s="14" t="n">
        <f aca="false">SUMIFS(Base_Encerradas!$M$2:$M$487,Base_Encerradas!$J$2:$J$487,$A7,Base_Encerradas!$K$2:$K$487,"Migração")</f>
        <v>418</v>
      </c>
      <c r="E7" s="14" t="n">
        <f aca="false">C7-D7</f>
        <v>-190</v>
      </c>
      <c r="F7" s="14" t="n">
        <f aca="false">SUMIFS(Base_Encerradas!$F$2:$F$487,Base_Encerradas!$J$2:$J$487,$A7,Base_Encerradas!$K$2:$K$487,"Compra extra desfeita")</f>
        <v>0</v>
      </c>
      <c r="G7" s="14" t="n">
        <f aca="false">SUMIFS(Base_Encerradas!$F$2:$F$487,Base_Encerradas!$J$2:$J$487,$A7,Base_Encerradas!$K$2:$K$487,"Redução real")</f>
        <v>686</v>
      </c>
      <c r="H7" s="14" t="n">
        <f aca="false">SUMIFS(Base_Encerradas!$F$2:$F$487,Base_Encerradas!$J$2:$J$487,$A7,Base_Encerradas!$K$2:$K$487,"Saída do cliente")</f>
        <v>0</v>
      </c>
      <c r="I7" s="28" t="n">
        <f aca="false">E7+G7+H7</f>
        <v>496</v>
      </c>
      <c r="J7" s="14" t="n">
        <f aca="false">B7-I7</f>
        <v>418</v>
      </c>
      <c r="K7" s="15" t="n">
        <f aca="false">IF(B7&gt;0,I7/B7,"")</f>
        <v>0.542669584245077</v>
      </c>
      <c r="L7" s="14" t="n">
        <f aca="false">MIN(C7,D7)</f>
        <v>228</v>
      </c>
      <c r="M7" s="14" t="n">
        <f aca="false">MAX(0,E7)</f>
        <v>0</v>
      </c>
      <c r="N7" s="14" t="n">
        <f aca="false">MAX(0,-E7)</f>
        <v>190</v>
      </c>
    </row>
    <row r="8" customFormat="false" ht="15" hidden="false" customHeight="false" outlineLevel="0" collapsed="false">
      <c r="A8" s="12" t="s">
        <v>30</v>
      </c>
      <c r="B8" s="14" t="n">
        <f aca="false">SUMIFS(Base_Encerradas!$F$2:$F$487,Base_Encerradas!$J$2:$J$487,$A8)</f>
        <v>49160</v>
      </c>
      <c r="C8" s="14" t="n">
        <f aca="false">SUMIFS(Base_Encerradas!$F$2:$F$487,Base_Encerradas!$J$2:$J$487,$A8,Base_Encerradas!$K$2:$K$487,"Migração")</f>
        <v>5083</v>
      </c>
      <c r="D8" s="14" t="n">
        <f aca="false">SUMIFS(Base_Encerradas!$M$2:$M$487,Base_Encerradas!$J$2:$J$487,$A8,Base_Encerradas!$K$2:$K$487,"Migração")</f>
        <v>2942</v>
      </c>
      <c r="E8" s="14" t="n">
        <f aca="false">C8-D8</f>
        <v>2141</v>
      </c>
      <c r="F8" s="14" t="n">
        <f aca="false">SUMIFS(Base_Encerradas!$F$2:$F$487,Base_Encerradas!$J$2:$J$487,$A8,Base_Encerradas!$K$2:$K$487,"Compra extra desfeita")</f>
        <v>0</v>
      </c>
      <c r="G8" s="14" t="n">
        <f aca="false">SUMIFS(Base_Encerradas!$F$2:$F$487,Base_Encerradas!$J$2:$J$487,$A8,Base_Encerradas!$K$2:$K$487,"Redução real")</f>
        <v>31341</v>
      </c>
      <c r="H8" s="14" t="n">
        <f aca="false">SUMIFS(Base_Encerradas!$F$2:$F$487,Base_Encerradas!$J$2:$J$487,$A8,Base_Encerradas!$K$2:$K$487,"Saída do cliente")</f>
        <v>12736</v>
      </c>
      <c r="I8" s="28" t="n">
        <f aca="false">E8+G8+H8</f>
        <v>46218</v>
      </c>
      <c r="J8" s="14" t="n">
        <f aca="false">B8-I8</f>
        <v>2942</v>
      </c>
      <c r="K8" s="15" t="n">
        <f aca="false">IF(B8&gt;0,I8/B8,"")</f>
        <v>0.940154597233523</v>
      </c>
      <c r="L8" s="14" t="n">
        <f aca="false">MIN(C8,D8)</f>
        <v>2942</v>
      </c>
      <c r="M8" s="14" t="n">
        <f aca="false">MAX(0,E8)</f>
        <v>2141</v>
      </c>
      <c r="N8" s="14" t="n">
        <f aca="false">MAX(0,-E8)</f>
        <v>0</v>
      </c>
    </row>
    <row r="9" customFormat="false" ht="15" hidden="false" customHeight="false" outlineLevel="0" collapsed="false">
      <c r="A9" s="12" t="s">
        <v>31</v>
      </c>
      <c r="B9" s="14" t="n">
        <f aca="false">SUMIFS(Base_Encerradas!$F$2:$F$487,Base_Encerradas!$J$2:$J$487,$A9)</f>
        <v>50138</v>
      </c>
      <c r="C9" s="14" t="n">
        <f aca="false">SUMIFS(Base_Encerradas!$F$2:$F$487,Base_Encerradas!$J$2:$J$487,$A9,Base_Encerradas!$K$2:$K$487,"Migração")</f>
        <v>17055</v>
      </c>
      <c r="D9" s="14" t="n">
        <f aca="false">SUMIFS(Base_Encerradas!$M$2:$M$487,Base_Encerradas!$J$2:$J$487,$A9,Base_Encerradas!$K$2:$K$487,"Migração")</f>
        <v>2860</v>
      </c>
      <c r="E9" s="14" t="n">
        <f aca="false">C9-D9</f>
        <v>14195</v>
      </c>
      <c r="F9" s="14" t="n">
        <f aca="false">SUMIFS(Base_Encerradas!$F$2:$F$487,Base_Encerradas!$J$2:$J$487,$A9,Base_Encerradas!$K$2:$K$487,"Compra extra desfeita")</f>
        <v>2450</v>
      </c>
      <c r="G9" s="14" t="n">
        <f aca="false">SUMIFS(Base_Encerradas!$F$2:$F$487,Base_Encerradas!$J$2:$J$487,$A9,Base_Encerradas!$K$2:$K$487,"Redução real")</f>
        <v>27449</v>
      </c>
      <c r="H9" s="14" t="n">
        <f aca="false">SUMIFS(Base_Encerradas!$F$2:$F$487,Base_Encerradas!$J$2:$J$487,$A9,Base_Encerradas!$K$2:$K$487,"Saída do cliente")</f>
        <v>3184</v>
      </c>
      <c r="I9" s="28" t="n">
        <f aca="false">E9+G9+H9</f>
        <v>44828</v>
      </c>
      <c r="J9" s="14" t="n">
        <f aca="false">B9-I9</f>
        <v>5310</v>
      </c>
      <c r="K9" s="15" t="n">
        <f aca="false">IF(B9&gt;0,I9/B9,"")</f>
        <v>0.894092305237544</v>
      </c>
      <c r="L9" s="14" t="n">
        <f aca="false">MIN(C9,D9)</f>
        <v>2860</v>
      </c>
      <c r="M9" s="14" t="n">
        <f aca="false">MAX(0,E9)</f>
        <v>14195</v>
      </c>
      <c r="N9" s="14" t="n">
        <f aca="false">MAX(0,-E9)</f>
        <v>0</v>
      </c>
    </row>
    <row r="10" customFormat="false" ht="15" hidden="false" customHeight="false" outlineLevel="0" collapsed="false">
      <c r="A10" s="12" t="s">
        <v>32</v>
      </c>
      <c r="B10" s="14" t="n">
        <f aca="false">SUMIFS(Base_Encerradas!$F$2:$F$487,Base_Encerradas!$J$2:$J$487,$A10)</f>
        <v>59026</v>
      </c>
      <c r="C10" s="14" t="n">
        <f aca="false">SUMIFS(Base_Encerradas!$F$2:$F$487,Base_Encerradas!$J$2:$J$487,$A10,Base_Encerradas!$K$2:$K$487,"Migração")</f>
        <v>4102</v>
      </c>
      <c r="D10" s="14" t="n">
        <f aca="false">SUMIFS(Base_Encerradas!$M$2:$M$487,Base_Encerradas!$J$2:$J$487,$A10,Base_Encerradas!$K$2:$K$487,"Migração")</f>
        <v>20645</v>
      </c>
      <c r="E10" s="14" t="n">
        <f aca="false">C10-D10</f>
        <v>-16543</v>
      </c>
      <c r="F10" s="14" t="n">
        <f aca="false">SUMIFS(Base_Encerradas!$F$2:$F$487,Base_Encerradas!$J$2:$J$487,$A10,Base_Encerradas!$K$2:$K$487,"Compra extra desfeita")</f>
        <v>2189</v>
      </c>
      <c r="G10" s="14" t="n">
        <f aca="false">SUMIFS(Base_Encerradas!$F$2:$F$487,Base_Encerradas!$J$2:$J$487,$A10,Base_Encerradas!$K$2:$K$487,"Redução real")</f>
        <v>51020</v>
      </c>
      <c r="H10" s="14" t="n">
        <f aca="false">SUMIFS(Base_Encerradas!$F$2:$F$487,Base_Encerradas!$J$2:$J$487,$A10,Base_Encerradas!$K$2:$K$487,"Saída do cliente")</f>
        <v>1715</v>
      </c>
      <c r="I10" s="28" t="n">
        <f aca="false">E10+G10+H10</f>
        <v>36192</v>
      </c>
      <c r="J10" s="14" t="n">
        <f aca="false">B10-I10</f>
        <v>22834</v>
      </c>
      <c r="K10" s="15" t="n">
        <f aca="false">IF(B10&gt;0,I10/B10,"")</f>
        <v>0.613153525565005</v>
      </c>
      <c r="L10" s="14" t="n">
        <f aca="false">MIN(C10,D10)</f>
        <v>4102</v>
      </c>
      <c r="M10" s="14" t="n">
        <f aca="false">MAX(0,E10)</f>
        <v>0</v>
      </c>
      <c r="N10" s="14" t="n">
        <f aca="false">MAX(0,-E10)</f>
        <v>16543</v>
      </c>
    </row>
    <row r="11" customFormat="false" ht="15" hidden="false" customHeight="false" outlineLevel="0" collapsed="false">
      <c r="A11" s="12" t="s">
        <v>33</v>
      </c>
      <c r="B11" s="14" t="n">
        <f aca="false">SUMIFS(Base_Encerradas!$F$2:$F$487,Base_Encerradas!$J$2:$J$487,$A11)</f>
        <v>146668</v>
      </c>
      <c r="C11" s="14" t="n">
        <f aca="false">SUMIFS(Base_Encerradas!$F$2:$F$487,Base_Encerradas!$J$2:$J$487,$A11,Base_Encerradas!$K$2:$K$487,"Migração")</f>
        <v>73811</v>
      </c>
      <c r="D11" s="14" t="n">
        <f aca="false">SUMIFS(Base_Encerradas!$M$2:$M$487,Base_Encerradas!$J$2:$J$487,$A11,Base_Encerradas!$K$2:$K$487,"Migração")</f>
        <v>61892</v>
      </c>
      <c r="E11" s="14" t="n">
        <f aca="false">C11-D11</f>
        <v>11919</v>
      </c>
      <c r="F11" s="14" t="n">
        <f aca="false">SUMIFS(Base_Encerradas!$F$2:$F$487,Base_Encerradas!$J$2:$J$487,$A11,Base_Encerradas!$K$2:$K$487,"Compra extra desfeita")</f>
        <v>7331</v>
      </c>
      <c r="G11" s="14" t="n">
        <f aca="false">SUMIFS(Base_Encerradas!$F$2:$F$487,Base_Encerradas!$J$2:$J$487,$A11,Base_Encerradas!$K$2:$K$487,"Redução real")</f>
        <v>59755</v>
      </c>
      <c r="H11" s="14" t="n">
        <f aca="false">SUMIFS(Base_Encerradas!$F$2:$F$487,Base_Encerradas!$J$2:$J$487,$A11,Base_Encerradas!$K$2:$K$487,"Saída do cliente")</f>
        <v>5771</v>
      </c>
      <c r="I11" s="28" t="n">
        <f aca="false">E11+G11+H11</f>
        <v>77445</v>
      </c>
      <c r="J11" s="14" t="n">
        <f aca="false">B11-I11</f>
        <v>69223</v>
      </c>
      <c r="K11" s="15" t="n">
        <f aca="false">IF(B11&gt;0,I11/B11,"")</f>
        <v>0.528029290642812</v>
      </c>
      <c r="L11" s="14" t="n">
        <f aca="false">MIN(C11,D11)</f>
        <v>61892</v>
      </c>
      <c r="M11" s="14" t="n">
        <f aca="false">MAX(0,E11)</f>
        <v>11919</v>
      </c>
      <c r="N11" s="14" t="n">
        <f aca="false">MAX(0,-E11)</f>
        <v>0</v>
      </c>
    </row>
    <row r="12" customFormat="false" ht="15" hidden="false" customHeight="false" outlineLevel="0" collapsed="false">
      <c r="A12" s="12" t="s">
        <v>34</v>
      </c>
      <c r="B12" s="14" t="n">
        <f aca="false">SUMIFS(Base_Encerradas!$F$2:$F$487,Base_Encerradas!$J$2:$J$487,$A12)</f>
        <v>871812</v>
      </c>
      <c r="C12" s="14" t="n">
        <f aca="false">SUMIFS(Base_Encerradas!$F$2:$F$487,Base_Encerradas!$J$2:$J$487,$A12,Base_Encerradas!$K$2:$K$487,"Migração")</f>
        <v>474616</v>
      </c>
      <c r="D12" s="14" t="n">
        <f aca="false">SUMIFS(Base_Encerradas!$M$2:$M$487,Base_Encerradas!$J$2:$J$487,$A12,Base_Encerradas!$K$2:$K$487,"Migração")</f>
        <v>372023</v>
      </c>
      <c r="E12" s="14" t="n">
        <f aca="false">C12-D12</f>
        <v>102593</v>
      </c>
      <c r="F12" s="14" t="n">
        <f aca="false">SUMIFS(Base_Encerradas!$F$2:$F$487,Base_Encerradas!$J$2:$J$487,$A12,Base_Encerradas!$K$2:$K$487,"Compra extra desfeita")</f>
        <v>168475</v>
      </c>
      <c r="G12" s="14" t="n">
        <f aca="false">SUMIFS(Base_Encerradas!$F$2:$F$487,Base_Encerradas!$J$2:$J$487,$A12,Base_Encerradas!$K$2:$K$487,"Redução real")</f>
        <v>228721</v>
      </c>
      <c r="H12" s="14" t="n">
        <f aca="false">SUMIFS(Base_Encerradas!$F$2:$F$487,Base_Encerradas!$J$2:$J$487,$A12,Base_Encerradas!$K$2:$K$487,"Saída do cliente")</f>
        <v>0</v>
      </c>
      <c r="I12" s="28" t="n">
        <f aca="false">E12+G12+H12</f>
        <v>331314</v>
      </c>
      <c r="J12" s="14" t="n">
        <f aca="false">B12-I12</f>
        <v>540498</v>
      </c>
      <c r="K12" s="15" t="n">
        <f aca="false">IF(B12&gt;0,I12/B12,"")</f>
        <v>0.380029180603158</v>
      </c>
      <c r="L12" s="14" t="n">
        <f aca="false">MIN(C12,D12)</f>
        <v>372023</v>
      </c>
      <c r="M12" s="14" t="n">
        <f aca="false">MAX(0,E12)</f>
        <v>102593</v>
      </c>
      <c r="N12" s="14" t="n">
        <f aca="false">MAX(0,-E12)</f>
        <v>0</v>
      </c>
    </row>
    <row r="13" customFormat="false" ht="15" hidden="false" customHeight="false" outlineLevel="0" collapsed="false">
      <c r="A13" s="16" t="s">
        <v>35</v>
      </c>
      <c r="B13" s="18" t="n">
        <f aca="false">SUM(B5:B12)</f>
        <v>1179139</v>
      </c>
      <c r="C13" s="18" t="n">
        <f aca="false">SUM(C5:C12)</f>
        <v>575140</v>
      </c>
      <c r="D13" s="18" t="n">
        <f aca="false">SUM(D5:D12)</f>
        <v>460780</v>
      </c>
      <c r="E13" s="18" t="n">
        <f aca="false">SUM(E5:E12)</f>
        <v>114360</v>
      </c>
      <c r="F13" s="18" t="n">
        <f aca="false">SUM(F5:F12)</f>
        <v>180445</v>
      </c>
      <c r="G13" s="18" t="n">
        <f aca="false">SUM(G5:G12)</f>
        <v>400148</v>
      </c>
      <c r="H13" s="18" t="n">
        <f aca="false">SUM(H5:H12)</f>
        <v>23406</v>
      </c>
      <c r="I13" s="18" t="n">
        <f aca="false">SUM(I5:I12)</f>
        <v>537914</v>
      </c>
      <c r="J13" s="18" t="n">
        <f aca="false">SUM(J5:J12)</f>
        <v>641225</v>
      </c>
      <c r="K13" s="19" t="n">
        <f aca="false">I13/B13</f>
        <v>0.456192187689492</v>
      </c>
      <c r="L13" s="18" t="n">
        <f aca="false">SUM(L5:L12)</f>
        <v>444047</v>
      </c>
      <c r="M13" s="18" t="n">
        <f aca="false">SUM(M5:M12)</f>
        <v>131093</v>
      </c>
      <c r="N13" s="18" t="n">
        <f aca="false">SUM(N5:N12)</f>
        <v>16733</v>
      </c>
    </row>
    <row r="14" customFormat="false" ht="27.75" hidden="false" customHeight="true" outlineLevel="0" collapsed="false">
      <c r="A14" s="7" t="s">
        <v>59</v>
      </c>
      <c r="B14" s="7"/>
      <c r="C14" s="7"/>
      <c r="D14" s="7"/>
      <c r="E14" s="7"/>
      <c r="F14" s="7"/>
      <c r="G14" s="7"/>
      <c r="H14" s="7"/>
      <c r="I14" s="7"/>
      <c r="J14" s="7"/>
      <c r="K14" s="7"/>
    </row>
  </sheetData>
  <mergeCells count="2">
    <mergeCell ref="A2:L2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1"/>
  </cols>
  <sheetData>
    <row r="1" customFormat="false" ht="18.55" hidden="false" customHeight="false" outlineLevel="0" collapsed="false">
      <c r="A1" s="6" t="s">
        <v>60</v>
      </c>
    </row>
    <row r="2" customFormat="false" ht="45.75" hidden="false" customHeight="true" outlineLevel="0" collapsed="false">
      <c r="A2" s="7" t="s">
        <v>61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57.75" hidden="false" customHeight="true" outlineLevel="0" collapsed="false">
      <c r="A4" s="8" t="s">
        <v>62</v>
      </c>
      <c r="B4" s="9" t="s">
        <v>63</v>
      </c>
      <c r="C4" s="20" t="s">
        <v>64</v>
      </c>
      <c r="D4" s="21" t="s">
        <v>42</v>
      </c>
      <c r="E4" s="22" t="s">
        <v>43</v>
      </c>
      <c r="F4" s="23" t="s">
        <v>65</v>
      </c>
      <c r="G4" s="9" t="s">
        <v>66</v>
      </c>
      <c r="H4" s="20" t="s">
        <v>67</v>
      </c>
      <c r="I4" s="21" t="s">
        <v>68</v>
      </c>
      <c r="J4" s="10" t="s">
        <v>69</v>
      </c>
      <c r="K4" s="11" t="s">
        <v>70</v>
      </c>
    </row>
    <row r="5" customFormat="false" ht="15" hidden="false" customHeight="false" outlineLevel="0" collapsed="false">
      <c r="A5" s="12" t="s">
        <v>71</v>
      </c>
      <c r="B5" s="13" t="n">
        <f aca="false">COUNTIFS(Base_Encerradas!$C$2:$C$487,$A5)</f>
        <v>152</v>
      </c>
      <c r="C5" s="13" t="n">
        <f aca="false">COUNTIFS(Base_Encerradas!$C$2:$C$487,$A5,Base_Encerradas!$K$2:$K$487,"Migração")</f>
        <v>73</v>
      </c>
      <c r="D5" s="13" t="n">
        <f aca="false">COUNTIFS(Base_Encerradas!$C$2:$C$487,$A5,Base_Encerradas!$K$2:$K$487,"Compra extra desfeita")</f>
        <v>18</v>
      </c>
      <c r="E5" s="13" t="n">
        <f aca="false">COUNTIFS(Base_Encerradas!$C$2:$C$487,$A5,Base_Encerradas!$K$2:$K$487,"Redução real")</f>
        <v>61</v>
      </c>
      <c r="F5" s="13" t="n">
        <f aca="false">COUNTIFS(Base_Encerradas!$C$2:$C$487,$A5,Base_Encerradas!$K$2:$K$487,"Saída do cliente")</f>
        <v>0</v>
      </c>
      <c r="G5" s="14" t="n">
        <f aca="false">SUMIFS(Base_Encerradas!$F$2:$F$487,Base_Encerradas!$C$2:$C$487,$A5)</f>
        <v>72523</v>
      </c>
      <c r="H5" s="14" t="n">
        <f aca="false">SUMIFS(Base_Encerradas!$F$2:$F$487,Base_Encerradas!$C$2:$C$487,$A5,Base_Encerradas!$K$2:$K$487,"Migração")</f>
        <v>39159</v>
      </c>
      <c r="I5" s="14" t="n">
        <f aca="false">SUMIFS(Base_Encerradas!$F$2:$F$487,Base_Encerradas!$C$2:$C$487,$A5,Base_Encerradas!$K$2:$K$487,"Compra extra desfeita")</f>
        <v>7163</v>
      </c>
      <c r="J5" s="28" t="n">
        <f aca="false">SUMIFS(Base_Encerradas!$F$2:$F$487,Base_Encerradas!$C$2:$C$487,$A5,Base_Encerradas!$K$2:$K$487,"Redução real")+SUMIFS(Base_Encerradas!$F$2:$F$487,Base_Encerradas!$C$2:$C$487,$A5,Base_Encerradas!$K$2:$K$487,"Saída do cliente")</f>
        <v>26201</v>
      </c>
      <c r="K5" s="15" t="n">
        <f aca="false">J5/G5</f>
        <v>0.361278490961488</v>
      </c>
    </row>
    <row r="6" customFormat="false" ht="15" hidden="false" customHeight="false" outlineLevel="0" collapsed="false">
      <c r="A6" s="12" t="s">
        <v>72</v>
      </c>
      <c r="B6" s="13" t="n">
        <f aca="false">COUNTIFS(Base_Encerradas!$C$2:$C$487,$A6)</f>
        <v>162</v>
      </c>
      <c r="C6" s="13" t="n">
        <f aca="false">COUNTIFS(Base_Encerradas!$C$2:$C$487,$A6,Base_Encerradas!$K$2:$K$487,"Migração")</f>
        <v>80</v>
      </c>
      <c r="D6" s="13" t="n">
        <f aca="false">COUNTIFS(Base_Encerradas!$C$2:$C$487,$A6,Base_Encerradas!$K$2:$K$487,"Compra extra desfeita")</f>
        <v>25</v>
      </c>
      <c r="E6" s="13" t="n">
        <f aca="false">COUNTIFS(Base_Encerradas!$C$2:$C$487,$A6,Base_Encerradas!$K$2:$K$487,"Redução real")</f>
        <v>56</v>
      </c>
      <c r="F6" s="13" t="n">
        <f aca="false">COUNTIFS(Base_Encerradas!$C$2:$C$487,$A6,Base_Encerradas!$K$2:$K$487,"Saída do cliente")</f>
        <v>1</v>
      </c>
      <c r="G6" s="14" t="n">
        <f aca="false">SUMIFS(Base_Encerradas!$F$2:$F$487,Base_Encerradas!$C$2:$C$487,$A6)</f>
        <v>180271</v>
      </c>
      <c r="H6" s="14" t="n">
        <f aca="false">SUMIFS(Base_Encerradas!$F$2:$F$487,Base_Encerradas!$C$2:$C$487,$A6,Base_Encerradas!$K$2:$K$487,"Migração")</f>
        <v>89425</v>
      </c>
      <c r="I6" s="14" t="n">
        <f aca="false">SUMIFS(Base_Encerradas!$F$2:$F$487,Base_Encerradas!$C$2:$C$487,$A6,Base_Encerradas!$K$2:$K$487,"Compra extra desfeita")</f>
        <v>25823</v>
      </c>
      <c r="J6" s="28" t="n">
        <f aca="false">SUMIFS(Base_Encerradas!$F$2:$F$487,Base_Encerradas!$C$2:$C$487,$A6,Base_Encerradas!$K$2:$K$487,"Redução real")+SUMIFS(Base_Encerradas!$F$2:$F$487,Base_Encerradas!$C$2:$C$487,$A6,Base_Encerradas!$K$2:$K$487,"Saída do cliente")</f>
        <v>65023</v>
      </c>
      <c r="K6" s="15" t="n">
        <f aca="false">J6/G6</f>
        <v>0.360695841261212</v>
      </c>
    </row>
    <row r="7" customFormat="false" ht="15" hidden="false" customHeight="false" outlineLevel="0" collapsed="false">
      <c r="A7" s="12" t="s">
        <v>73</v>
      </c>
      <c r="B7" s="13" t="n">
        <f aca="false">COUNTIFS(Base_Encerradas!$C$2:$C$487,$A7)</f>
        <v>172</v>
      </c>
      <c r="C7" s="13" t="n">
        <f aca="false">COUNTIFS(Base_Encerradas!$C$2:$C$487,$A7,Base_Encerradas!$K$2:$K$487,"Migração")</f>
        <v>80</v>
      </c>
      <c r="D7" s="13" t="n">
        <f aca="false">COUNTIFS(Base_Encerradas!$C$2:$C$487,$A7,Base_Encerradas!$K$2:$K$487,"Compra extra desfeita")</f>
        <v>21</v>
      </c>
      <c r="E7" s="13" t="n">
        <f aca="false">COUNTIFS(Base_Encerradas!$C$2:$C$487,$A7,Base_Encerradas!$K$2:$K$487,"Redução real")</f>
        <v>68</v>
      </c>
      <c r="F7" s="13" t="n">
        <f aca="false">COUNTIFS(Base_Encerradas!$C$2:$C$487,$A7,Base_Encerradas!$K$2:$K$487,"Saída do cliente")</f>
        <v>3</v>
      </c>
      <c r="G7" s="14" t="n">
        <f aca="false">SUMIFS(Base_Encerradas!$F$2:$F$487,Base_Encerradas!$C$2:$C$487,$A7)</f>
        <v>926345</v>
      </c>
      <c r="H7" s="14" t="n">
        <f aca="false">SUMIFS(Base_Encerradas!$F$2:$F$487,Base_Encerradas!$C$2:$C$487,$A7,Base_Encerradas!$K$2:$K$487,"Migração")</f>
        <v>446556</v>
      </c>
      <c r="I7" s="14" t="n">
        <f aca="false">SUMIFS(Base_Encerradas!$F$2:$F$487,Base_Encerradas!$C$2:$C$487,$A7,Base_Encerradas!$K$2:$K$487,"Compra extra desfeita")</f>
        <v>147459</v>
      </c>
      <c r="J7" s="28" t="n">
        <f aca="false">SUMIFS(Base_Encerradas!$F$2:$F$487,Base_Encerradas!$C$2:$C$487,$A7,Base_Encerradas!$K$2:$K$487,"Redução real")+SUMIFS(Base_Encerradas!$F$2:$F$487,Base_Encerradas!$C$2:$C$487,$A7,Base_Encerradas!$K$2:$K$487,"Saída do cliente")</f>
        <v>332330</v>
      </c>
      <c r="K7" s="15" t="n">
        <f aca="false">J7/G7</f>
        <v>0.35875402792696</v>
      </c>
    </row>
    <row r="8" customFormat="false" ht="15" hidden="false" customHeight="false" outlineLevel="0" collapsed="false">
      <c r="A8" s="16" t="s">
        <v>74</v>
      </c>
      <c r="B8" s="17" t="n">
        <f aca="false">SUM(B5:B7)</f>
        <v>486</v>
      </c>
      <c r="C8" s="17" t="n">
        <f aca="false">SUM(C5:C7)</f>
        <v>233</v>
      </c>
      <c r="D8" s="17" t="n">
        <f aca="false">SUM(D5:D7)</f>
        <v>64</v>
      </c>
      <c r="E8" s="17" t="n">
        <f aca="false">SUM(E5:E7)</f>
        <v>185</v>
      </c>
      <c r="F8" s="17" t="n">
        <f aca="false">SUM(F5:F7)</f>
        <v>4</v>
      </c>
      <c r="G8" s="18" t="n">
        <f aca="false">SUM(G5:G7)</f>
        <v>1179139</v>
      </c>
      <c r="H8" s="18" t="n">
        <f aca="false">SUM(H5:H7)</f>
        <v>575140</v>
      </c>
      <c r="I8" s="18" t="n">
        <f aca="false">SUM(I5:I7)</f>
        <v>180445</v>
      </c>
      <c r="J8" s="18" t="n">
        <f aca="false">SUM(J5:J7)</f>
        <v>423554</v>
      </c>
      <c r="K8" s="19" t="n">
        <f aca="false">J8/G8</f>
        <v>0.359206166533377</v>
      </c>
    </row>
    <row r="9" customFormat="false" ht="15" hidden="false" customHeight="false" outlineLevel="0" collapsed="false">
      <c r="A9" s="12" t="s">
        <v>75</v>
      </c>
      <c r="J9" s="14" t="n">
        <f aca="false">'3_Valor_US$'!E13</f>
        <v>114360</v>
      </c>
    </row>
    <row r="10" customFormat="false" ht="15" hidden="false" customHeight="false" outlineLevel="0" collapsed="false">
      <c r="A10" s="16" t="s">
        <v>76</v>
      </c>
      <c r="J10" s="18" t="n">
        <f aca="false">J8+J9</f>
        <v>537914</v>
      </c>
    </row>
    <row r="12" customFormat="false" ht="27.75" hidden="false" customHeight="true" outlineLevel="0" collapsed="false">
      <c r="A12" s="7" t="s">
        <v>77</v>
      </c>
      <c r="B12" s="7"/>
      <c r="C12" s="7"/>
      <c r="D12" s="7"/>
      <c r="E12" s="7"/>
      <c r="F12" s="7"/>
      <c r="G12" s="7"/>
      <c r="H12" s="7"/>
      <c r="I12" s="7"/>
      <c r="J12" s="7"/>
      <c r="K12" s="7"/>
    </row>
  </sheetData>
  <mergeCells count="2">
    <mergeCell ref="A2:K2"/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29" t="s">
        <v>78</v>
      </c>
      <c r="B1" s="29" t="s">
        <v>79</v>
      </c>
      <c r="C1" s="29" t="s">
        <v>80</v>
      </c>
      <c r="D1" s="29" t="s">
        <v>81</v>
      </c>
      <c r="E1" s="29" t="s">
        <v>82</v>
      </c>
      <c r="F1" s="29" t="s">
        <v>83</v>
      </c>
      <c r="G1" s="29" t="s">
        <v>84</v>
      </c>
      <c r="H1" s="29" t="s">
        <v>85</v>
      </c>
      <c r="I1" s="29" t="s">
        <v>86</v>
      </c>
      <c r="J1" s="29" t="s">
        <v>87</v>
      </c>
      <c r="K1" s="29" t="s">
        <v>88</v>
      </c>
      <c r="L1" s="29" t="s">
        <v>89</v>
      </c>
      <c r="M1" s="29" t="s">
        <v>90</v>
      </c>
    </row>
    <row r="2" customFormat="false" ht="15" hidden="false" customHeight="false" outlineLevel="0" collapsed="false">
      <c r="A2" s="0" t="s">
        <v>91</v>
      </c>
      <c r="B2" s="0" t="s">
        <v>92</v>
      </c>
      <c r="C2" s="0" t="s">
        <v>73</v>
      </c>
      <c r="D2" s="0" t="s">
        <v>93</v>
      </c>
      <c r="E2" s="0" t="n">
        <v>14</v>
      </c>
      <c r="F2" s="30" t="n">
        <v>2786</v>
      </c>
      <c r="G2" s="31" t="n">
        <v>45283</v>
      </c>
      <c r="H2" s="31" t="n">
        <v>45394</v>
      </c>
      <c r="I2" s="0" t="n">
        <v>111</v>
      </c>
      <c r="J2" s="32" t="s">
        <v>32</v>
      </c>
      <c r="K2" s="32" t="s">
        <v>43</v>
      </c>
      <c r="M2" s="30" t="n">
        <v>0</v>
      </c>
    </row>
    <row r="3" customFormat="false" ht="15" hidden="false" customHeight="false" outlineLevel="0" collapsed="false">
      <c r="A3" s="0" t="s">
        <v>94</v>
      </c>
      <c r="B3" s="0" t="s">
        <v>95</v>
      </c>
      <c r="C3" s="0" t="s">
        <v>73</v>
      </c>
      <c r="D3" s="0" t="s">
        <v>93</v>
      </c>
      <c r="E3" s="0" t="n">
        <v>5</v>
      </c>
      <c r="F3" s="30" t="n">
        <v>995</v>
      </c>
      <c r="G3" s="31" t="n">
        <v>45619</v>
      </c>
      <c r="H3" s="31" t="n">
        <v>45639</v>
      </c>
      <c r="I3" s="0" t="n">
        <v>20</v>
      </c>
      <c r="J3" s="32" t="s">
        <v>34</v>
      </c>
      <c r="K3" s="32" t="s">
        <v>42</v>
      </c>
      <c r="M3" s="30" t="n">
        <v>0</v>
      </c>
    </row>
    <row r="4" customFormat="false" ht="15" hidden="false" customHeight="false" outlineLevel="0" collapsed="false">
      <c r="A4" s="0" t="s">
        <v>96</v>
      </c>
      <c r="B4" s="0" t="s">
        <v>97</v>
      </c>
      <c r="C4" s="0" t="s">
        <v>72</v>
      </c>
      <c r="D4" s="0" t="s">
        <v>98</v>
      </c>
      <c r="E4" s="0" t="n">
        <v>34</v>
      </c>
      <c r="F4" s="30" t="n">
        <v>0</v>
      </c>
      <c r="G4" s="31" t="n">
        <v>45128</v>
      </c>
      <c r="H4" s="31" t="n">
        <v>45507</v>
      </c>
      <c r="I4" s="0" t="n">
        <v>379</v>
      </c>
      <c r="J4" s="32" t="s">
        <v>33</v>
      </c>
      <c r="K4" s="32" t="s">
        <v>43</v>
      </c>
      <c r="M4" s="30" t="n">
        <v>0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71</v>
      </c>
      <c r="D5" s="0" t="s">
        <v>93</v>
      </c>
      <c r="E5" s="0" t="n">
        <v>8</v>
      </c>
      <c r="F5" s="30" t="n">
        <v>152</v>
      </c>
      <c r="G5" s="31" t="n">
        <v>45449</v>
      </c>
      <c r="H5" s="31" t="n">
        <v>45517</v>
      </c>
      <c r="I5" s="0" t="n">
        <v>68</v>
      </c>
      <c r="J5" s="32" t="s">
        <v>33</v>
      </c>
      <c r="K5" s="32" t="s">
        <v>64</v>
      </c>
      <c r="L5" s="32" t="s">
        <v>101</v>
      </c>
      <c r="M5" s="30" t="n">
        <v>152</v>
      </c>
    </row>
    <row r="6" customFormat="false" ht="15" hidden="false" customHeight="false" outlineLevel="0" collapsed="false">
      <c r="A6" s="0" t="s">
        <v>102</v>
      </c>
      <c r="B6" s="0" t="s">
        <v>103</v>
      </c>
      <c r="C6" s="0" t="s">
        <v>71</v>
      </c>
      <c r="D6" s="0" t="s">
        <v>93</v>
      </c>
      <c r="E6" s="0" t="n">
        <v>61</v>
      </c>
      <c r="F6" s="30" t="n">
        <v>1159</v>
      </c>
      <c r="G6" s="31" t="n">
        <v>45630</v>
      </c>
      <c r="H6" s="31" t="n">
        <v>45653</v>
      </c>
      <c r="I6" s="0" t="n">
        <v>23</v>
      </c>
      <c r="J6" s="32" t="s">
        <v>34</v>
      </c>
      <c r="K6" s="32" t="s">
        <v>42</v>
      </c>
      <c r="M6" s="30" t="n">
        <v>0</v>
      </c>
    </row>
    <row r="7" customFormat="false" ht="15" hidden="false" customHeight="false" outlineLevel="0" collapsed="false">
      <c r="A7" s="0" t="s">
        <v>104</v>
      </c>
      <c r="B7" s="0" t="s">
        <v>105</v>
      </c>
      <c r="C7" s="0" t="s">
        <v>73</v>
      </c>
      <c r="D7" s="0" t="s">
        <v>93</v>
      </c>
      <c r="E7" s="0" t="n">
        <v>31</v>
      </c>
      <c r="F7" s="30" t="n">
        <v>6169</v>
      </c>
      <c r="G7" s="31" t="n">
        <v>45526</v>
      </c>
      <c r="H7" s="31" t="n">
        <v>45563</v>
      </c>
      <c r="I7" s="0" t="n">
        <v>37</v>
      </c>
      <c r="J7" s="32" t="s">
        <v>33</v>
      </c>
      <c r="K7" s="32" t="s">
        <v>43</v>
      </c>
      <c r="M7" s="30" t="n">
        <v>0</v>
      </c>
    </row>
    <row r="8" customFormat="false" ht="15" hidden="false" customHeight="false" outlineLevel="0" collapsed="false">
      <c r="A8" s="0" t="s">
        <v>106</v>
      </c>
      <c r="B8" s="0" t="s">
        <v>107</v>
      </c>
      <c r="C8" s="0" t="s">
        <v>72</v>
      </c>
      <c r="D8" s="0" t="s">
        <v>98</v>
      </c>
      <c r="E8" s="0" t="n">
        <v>8</v>
      </c>
      <c r="F8" s="30" t="n">
        <v>0</v>
      </c>
      <c r="G8" s="31" t="n">
        <v>45305</v>
      </c>
      <c r="H8" s="31" t="n">
        <v>45655</v>
      </c>
      <c r="I8" s="0" t="n">
        <v>350</v>
      </c>
      <c r="J8" s="32" t="s">
        <v>34</v>
      </c>
      <c r="K8" s="32" t="s">
        <v>64</v>
      </c>
      <c r="L8" s="32" t="s">
        <v>108</v>
      </c>
      <c r="M8" s="30" t="n">
        <v>1372</v>
      </c>
    </row>
    <row r="9" customFormat="false" ht="15" hidden="false" customHeight="false" outlineLevel="0" collapsed="false">
      <c r="A9" s="0" t="s">
        <v>109</v>
      </c>
      <c r="B9" s="0" t="s">
        <v>110</v>
      </c>
      <c r="C9" s="0" t="s">
        <v>73</v>
      </c>
      <c r="D9" s="0" t="s">
        <v>93</v>
      </c>
      <c r="E9" s="0" t="n">
        <v>20</v>
      </c>
      <c r="F9" s="30" t="n">
        <v>3980</v>
      </c>
      <c r="G9" s="31" t="n">
        <v>45553</v>
      </c>
      <c r="H9" s="31" t="n">
        <v>45613</v>
      </c>
      <c r="I9" s="0" t="n">
        <v>60</v>
      </c>
      <c r="J9" s="32" t="s">
        <v>34</v>
      </c>
      <c r="K9" s="32" t="s">
        <v>43</v>
      </c>
      <c r="M9" s="30" t="n">
        <v>0</v>
      </c>
    </row>
    <row r="10" customFormat="false" ht="15" hidden="false" customHeight="false" outlineLevel="0" collapsed="false">
      <c r="A10" s="0" t="s">
        <v>111</v>
      </c>
      <c r="B10" s="0" t="s">
        <v>105</v>
      </c>
      <c r="C10" s="0" t="s">
        <v>73</v>
      </c>
      <c r="D10" s="0" t="s">
        <v>93</v>
      </c>
      <c r="E10" s="0" t="n">
        <v>10</v>
      </c>
      <c r="F10" s="30" t="n">
        <v>1990</v>
      </c>
      <c r="G10" s="31" t="n">
        <v>45531</v>
      </c>
      <c r="H10" s="31" t="n">
        <v>45637</v>
      </c>
      <c r="I10" s="0" t="n">
        <v>106</v>
      </c>
      <c r="J10" s="32" t="s">
        <v>34</v>
      </c>
      <c r="K10" s="32" t="s">
        <v>64</v>
      </c>
      <c r="L10" s="32" t="s">
        <v>112</v>
      </c>
      <c r="M10" s="30" t="n">
        <v>0</v>
      </c>
    </row>
    <row r="11" customFormat="false" ht="15" hidden="false" customHeight="false" outlineLevel="0" collapsed="false">
      <c r="A11" s="0" t="s">
        <v>113</v>
      </c>
      <c r="B11" s="0" t="s">
        <v>114</v>
      </c>
      <c r="C11" s="0" t="s">
        <v>73</v>
      </c>
      <c r="D11" s="0" t="s">
        <v>98</v>
      </c>
      <c r="E11" s="0" t="n">
        <v>13</v>
      </c>
      <c r="F11" s="30" t="n">
        <v>0</v>
      </c>
      <c r="G11" s="31" t="n">
        <v>45582</v>
      </c>
      <c r="H11" s="31" t="n">
        <v>45630</v>
      </c>
      <c r="I11" s="0" t="n">
        <v>48</v>
      </c>
      <c r="J11" s="32" t="s">
        <v>34</v>
      </c>
      <c r="K11" s="32" t="s">
        <v>43</v>
      </c>
      <c r="M11" s="30" t="n">
        <v>0</v>
      </c>
    </row>
    <row r="12" customFormat="false" ht="15" hidden="false" customHeight="false" outlineLevel="0" collapsed="false">
      <c r="A12" s="0" t="s">
        <v>115</v>
      </c>
      <c r="B12" s="0" t="s">
        <v>116</v>
      </c>
      <c r="C12" s="0" t="s">
        <v>72</v>
      </c>
      <c r="D12" s="0" t="s">
        <v>98</v>
      </c>
      <c r="E12" s="0" t="n">
        <v>8</v>
      </c>
      <c r="F12" s="30" t="n">
        <v>0</v>
      </c>
      <c r="G12" s="31" t="n">
        <v>45651</v>
      </c>
      <c r="H12" s="31" t="n">
        <v>45654</v>
      </c>
      <c r="I12" s="0" t="n">
        <v>3</v>
      </c>
      <c r="J12" s="32" t="s">
        <v>34</v>
      </c>
      <c r="K12" s="32" t="s">
        <v>64</v>
      </c>
      <c r="L12" s="32" t="s">
        <v>117</v>
      </c>
      <c r="M12" s="30" t="n">
        <v>98</v>
      </c>
    </row>
    <row r="13" customFormat="false" ht="15" hidden="false" customHeight="false" outlineLevel="0" collapsed="false">
      <c r="A13" s="0" t="s">
        <v>118</v>
      </c>
      <c r="B13" s="0" t="s">
        <v>119</v>
      </c>
      <c r="C13" s="0" t="s">
        <v>71</v>
      </c>
      <c r="D13" s="0" t="s">
        <v>93</v>
      </c>
      <c r="E13" s="0" t="n">
        <v>41</v>
      </c>
      <c r="F13" s="30" t="n">
        <v>779</v>
      </c>
      <c r="G13" s="31" t="n">
        <v>45504</v>
      </c>
      <c r="H13" s="31" t="n">
        <v>45539</v>
      </c>
      <c r="I13" s="0" t="n">
        <v>35</v>
      </c>
      <c r="J13" s="32" t="s">
        <v>33</v>
      </c>
      <c r="K13" s="32" t="s">
        <v>43</v>
      </c>
      <c r="M13" s="30" t="n">
        <v>0</v>
      </c>
    </row>
    <row r="14" customFormat="false" ht="15" hidden="false" customHeight="false" outlineLevel="0" collapsed="false">
      <c r="A14" s="0" t="s">
        <v>120</v>
      </c>
      <c r="B14" s="0" t="s">
        <v>121</v>
      </c>
      <c r="C14" s="0" t="s">
        <v>72</v>
      </c>
      <c r="D14" s="0" t="s">
        <v>93</v>
      </c>
      <c r="E14" s="0" t="n">
        <v>53</v>
      </c>
      <c r="F14" s="30" t="n">
        <v>2597</v>
      </c>
      <c r="G14" s="31" t="n">
        <v>45605</v>
      </c>
      <c r="H14" s="31" t="n">
        <v>45644</v>
      </c>
      <c r="I14" s="0" t="n">
        <v>39</v>
      </c>
      <c r="J14" s="32" t="s">
        <v>34</v>
      </c>
      <c r="K14" s="32" t="s">
        <v>64</v>
      </c>
      <c r="L14" s="32" t="s">
        <v>122</v>
      </c>
      <c r="M14" s="30" t="n">
        <v>10547</v>
      </c>
    </row>
    <row r="15" customFormat="false" ht="15" hidden="false" customHeight="false" outlineLevel="0" collapsed="false">
      <c r="A15" s="0" t="s">
        <v>123</v>
      </c>
      <c r="B15" s="0" t="s">
        <v>124</v>
      </c>
      <c r="C15" s="0" t="s">
        <v>72</v>
      </c>
      <c r="D15" s="0" t="s">
        <v>93</v>
      </c>
      <c r="E15" s="0" t="n">
        <v>24</v>
      </c>
      <c r="F15" s="30" t="n">
        <v>1176</v>
      </c>
      <c r="G15" s="31" t="n">
        <v>44985</v>
      </c>
      <c r="H15" s="31" t="n">
        <v>45092</v>
      </c>
      <c r="I15" s="0" t="n">
        <v>107</v>
      </c>
      <c r="J15" s="32" t="s">
        <v>28</v>
      </c>
      <c r="K15" s="32" t="s">
        <v>43</v>
      </c>
      <c r="M15" s="30" t="n">
        <v>0</v>
      </c>
    </row>
    <row r="16" customFormat="false" ht="15" hidden="false" customHeight="false" outlineLevel="0" collapsed="false">
      <c r="A16" s="0" t="s">
        <v>125</v>
      </c>
      <c r="B16" s="0" t="s">
        <v>126</v>
      </c>
      <c r="C16" s="0" t="s">
        <v>71</v>
      </c>
      <c r="D16" s="0" t="s">
        <v>93</v>
      </c>
      <c r="E16" s="0" t="n">
        <v>38</v>
      </c>
      <c r="F16" s="30" t="n">
        <v>722</v>
      </c>
      <c r="G16" s="31" t="n">
        <v>45651</v>
      </c>
      <c r="H16" s="31" t="n">
        <v>45654</v>
      </c>
      <c r="I16" s="0" t="n">
        <v>3</v>
      </c>
      <c r="J16" s="32" t="s">
        <v>34</v>
      </c>
      <c r="K16" s="32" t="s">
        <v>64</v>
      </c>
      <c r="L16" s="32" t="s">
        <v>127</v>
      </c>
      <c r="M16" s="30" t="n">
        <v>0</v>
      </c>
    </row>
    <row r="17" customFormat="false" ht="15" hidden="false" customHeight="false" outlineLevel="0" collapsed="false">
      <c r="A17" s="0" t="s">
        <v>128</v>
      </c>
      <c r="B17" s="0" t="s">
        <v>129</v>
      </c>
      <c r="C17" s="0" t="s">
        <v>73</v>
      </c>
      <c r="D17" s="0" t="s">
        <v>93</v>
      </c>
      <c r="E17" s="0" t="n">
        <v>4</v>
      </c>
      <c r="F17" s="30" t="n">
        <v>796</v>
      </c>
      <c r="G17" s="31" t="n">
        <v>45151</v>
      </c>
      <c r="H17" s="31" t="n">
        <v>45465</v>
      </c>
      <c r="I17" s="0" t="n">
        <v>314</v>
      </c>
      <c r="J17" s="32" t="s">
        <v>32</v>
      </c>
      <c r="K17" s="32" t="s">
        <v>43</v>
      </c>
      <c r="M17" s="30" t="n">
        <v>0</v>
      </c>
    </row>
    <row r="18" customFormat="false" ht="15" hidden="false" customHeight="false" outlineLevel="0" collapsed="false">
      <c r="A18" s="0" t="s">
        <v>130</v>
      </c>
      <c r="B18" s="0" t="s">
        <v>131</v>
      </c>
      <c r="C18" s="0" t="s">
        <v>71</v>
      </c>
      <c r="D18" s="0" t="s">
        <v>93</v>
      </c>
      <c r="E18" s="0" t="n">
        <v>53</v>
      </c>
      <c r="F18" s="30" t="n">
        <v>1007</v>
      </c>
      <c r="G18" s="31" t="n">
        <v>45604</v>
      </c>
      <c r="H18" s="31" t="n">
        <v>45621</v>
      </c>
      <c r="I18" s="0" t="n">
        <v>17</v>
      </c>
      <c r="J18" s="32" t="s">
        <v>34</v>
      </c>
      <c r="K18" s="32" t="s">
        <v>64</v>
      </c>
      <c r="L18" s="32" t="s">
        <v>132</v>
      </c>
      <c r="M18" s="30" t="n">
        <v>570</v>
      </c>
    </row>
    <row r="19" customFormat="false" ht="15" hidden="false" customHeight="false" outlineLevel="0" collapsed="false">
      <c r="A19" s="0" t="s">
        <v>133</v>
      </c>
      <c r="B19" s="0" t="s">
        <v>126</v>
      </c>
      <c r="C19" s="0" t="s">
        <v>72</v>
      </c>
      <c r="D19" s="0" t="s">
        <v>98</v>
      </c>
      <c r="E19" s="0" t="n">
        <v>29</v>
      </c>
      <c r="F19" s="30" t="n">
        <v>0</v>
      </c>
      <c r="G19" s="31" t="n">
        <v>45620</v>
      </c>
      <c r="H19" s="31" t="n">
        <v>45631</v>
      </c>
      <c r="I19" s="0" t="n">
        <v>11</v>
      </c>
      <c r="J19" s="32" t="s">
        <v>34</v>
      </c>
      <c r="K19" s="32" t="s">
        <v>64</v>
      </c>
      <c r="L19" s="32" t="s">
        <v>134</v>
      </c>
      <c r="M19" s="30" t="n">
        <v>5771</v>
      </c>
    </row>
    <row r="20" customFormat="false" ht="15" hidden="false" customHeight="false" outlineLevel="0" collapsed="false">
      <c r="A20" s="0" t="s">
        <v>135</v>
      </c>
      <c r="B20" s="0" t="s">
        <v>136</v>
      </c>
      <c r="C20" s="0" t="s">
        <v>71</v>
      </c>
      <c r="D20" s="0" t="s">
        <v>98</v>
      </c>
      <c r="E20" s="0" t="n">
        <v>64</v>
      </c>
      <c r="F20" s="30" t="n">
        <v>0</v>
      </c>
      <c r="G20" s="31" t="n">
        <v>45308</v>
      </c>
      <c r="H20" s="31" t="n">
        <v>45401</v>
      </c>
      <c r="I20" s="0" t="n">
        <v>93</v>
      </c>
      <c r="J20" s="32" t="s">
        <v>32</v>
      </c>
      <c r="K20" s="32" t="s">
        <v>64</v>
      </c>
      <c r="L20" s="32" t="s">
        <v>137</v>
      </c>
      <c r="M20" s="30" t="n">
        <v>12736</v>
      </c>
    </row>
    <row r="21" customFormat="false" ht="15" hidden="false" customHeight="false" outlineLevel="0" collapsed="false">
      <c r="A21" s="0" t="s">
        <v>138</v>
      </c>
      <c r="B21" s="0" t="s">
        <v>139</v>
      </c>
      <c r="C21" s="0" t="s">
        <v>73</v>
      </c>
      <c r="D21" s="0" t="s">
        <v>93</v>
      </c>
      <c r="E21" s="0" t="n">
        <v>37</v>
      </c>
      <c r="F21" s="30" t="n">
        <v>7363</v>
      </c>
      <c r="G21" s="31" t="n">
        <v>45628</v>
      </c>
      <c r="H21" s="31" t="n">
        <v>45645</v>
      </c>
      <c r="I21" s="0" t="n">
        <v>17</v>
      </c>
      <c r="J21" s="32" t="s">
        <v>34</v>
      </c>
      <c r="K21" s="32" t="s">
        <v>64</v>
      </c>
      <c r="L21" s="32" t="s">
        <v>140</v>
      </c>
      <c r="M21" s="30" t="n">
        <v>323</v>
      </c>
    </row>
    <row r="22" customFormat="false" ht="15" hidden="false" customHeight="false" outlineLevel="0" collapsed="false">
      <c r="A22" s="0" t="s">
        <v>141</v>
      </c>
      <c r="B22" s="0" t="s">
        <v>142</v>
      </c>
      <c r="C22" s="0" t="s">
        <v>73</v>
      </c>
      <c r="D22" s="0" t="s">
        <v>93</v>
      </c>
      <c r="E22" s="0" t="n">
        <v>19</v>
      </c>
      <c r="F22" s="30" t="n">
        <v>3781</v>
      </c>
      <c r="G22" s="31" t="n">
        <v>45657</v>
      </c>
      <c r="H22" s="31" t="n">
        <v>45657</v>
      </c>
      <c r="I22" s="0" t="n">
        <v>0</v>
      </c>
      <c r="J22" s="32" t="s">
        <v>34</v>
      </c>
      <c r="K22" s="32" t="s">
        <v>64</v>
      </c>
      <c r="L22" s="32" t="s">
        <v>143</v>
      </c>
      <c r="M22" s="30" t="n">
        <v>589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71</v>
      </c>
      <c r="D23" s="0" t="s">
        <v>93</v>
      </c>
      <c r="E23" s="0" t="n">
        <v>21</v>
      </c>
      <c r="F23" s="30" t="n">
        <v>399</v>
      </c>
      <c r="G23" s="31" t="n">
        <v>45588</v>
      </c>
      <c r="H23" s="31" t="n">
        <v>45623</v>
      </c>
      <c r="I23" s="0" t="n">
        <v>35</v>
      </c>
      <c r="J23" s="32" t="s">
        <v>34</v>
      </c>
      <c r="K23" s="32" t="s">
        <v>64</v>
      </c>
      <c r="L23" s="32" t="s">
        <v>146</v>
      </c>
      <c r="M23" s="30" t="n">
        <v>12537</v>
      </c>
    </row>
    <row r="24" customFormat="false" ht="15" hidden="false" customHeight="false" outlineLevel="0" collapsed="false">
      <c r="A24" s="0" t="s">
        <v>147</v>
      </c>
      <c r="B24" s="0" t="s">
        <v>148</v>
      </c>
      <c r="C24" s="0" t="s">
        <v>73</v>
      </c>
      <c r="D24" s="0" t="s">
        <v>93</v>
      </c>
      <c r="E24" s="0" t="n">
        <v>2</v>
      </c>
      <c r="F24" s="30" t="n">
        <v>398</v>
      </c>
      <c r="G24" s="31" t="n">
        <v>45575</v>
      </c>
      <c r="H24" s="31" t="n">
        <v>45655</v>
      </c>
      <c r="I24" s="0" t="n">
        <v>80</v>
      </c>
      <c r="J24" s="32" t="s">
        <v>34</v>
      </c>
      <c r="K24" s="32" t="s">
        <v>64</v>
      </c>
      <c r="L24" s="32" t="s">
        <v>149</v>
      </c>
      <c r="M24" s="30" t="n">
        <v>323</v>
      </c>
    </row>
    <row r="25" customFormat="false" ht="15" hidden="false" customHeight="false" outlineLevel="0" collapsed="false">
      <c r="A25" s="0" t="s">
        <v>150</v>
      </c>
      <c r="B25" s="0" t="s">
        <v>151</v>
      </c>
      <c r="C25" s="0" t="s">
        <v>71</v>
      </c>
      <c r="D25" s="0" t="s">
        <v>93</v>
      </c>
      <c r="E25" s="0" t="n">
        <v>20</v>
      </c>
      <c r="F25" s="30" t="n">
        <v>380</v>
      </c>
      <c r="G25" s="31" t="n">
        <v>45653</v>
      </c>
      <c r="H25" s="31" t="n">
        <v>45656</v>
      </c>
      <c r="I25" s="0" t="n">
        <v>3</v>
      </c>
      <c r="J25" s="32" t="s">
        <v>34</v>
      </c>
      <c r="K25" s="32" t="s">
        <v>64</v>
      </c>
      <c r="L25" s="32" t="s">
        <v>152</v>
      </c>
      <c r="M25" s="30" t="n">
        <v>980</v>
      </c>
    </row>
    <row r="26" customFormat="false" ht="15" hidden="false" customHeight="false" outlineLevel="0" collapsed="false">
      <c r="A26" s="0" t="s">
        <v>153</v>
      </c>
      <c r="B26" s="0" t="s">
        <v>154</v>
      </c>
      <c r="C26" s="0" t="s">
        <v>73</v>
      </c>
      <c r="D26" s="0" t="s">
        <v>93</v>
      </c>
      <c r="E26" s="0" t="n">
        <v>117</v>
      </c>
      <c r="F26" s="30" t="n">
        <v>23283</v>
      </c>
      <c r="G26" s="31" t="n">
        <v>45626</v>
      </c>
      <c r="H26" s="31" t="n">
        <v>45629</v>
      </c>
      <c r="I26" s="0" t="n">
        <v>3</v>
      </c>
      <c r="J26" s="32" t="s">
        <v>34</v>
      </c>
      <c r="K26" s="32" t="s">
        <v>42</v>
      </c>
      <c r="M26" s="30" t="n">
        <v>0</v>
      </c>
    </row>
    <row r="27" customFormat="false" ht="15" hidden="false" customHeight="false" outlineLevel="0" collapsed="false">
      <c r="A27" s="0" t="s">
        <v>155</v>
      </c>
      <c r="B27" s="0" t="s">
        <v>156</v>
      </c>
      <c r="C27" s="0" t="s">
        <v>72</v>
      </c>
      <c r="D27" s="0" t="s">
        <v>93</v>
      </c>
      <c r="E27" s="0" t="n">
        <v>19</v>
      </c>
      <c r="F27" s="30" t="n">
        <v>931</v>
      </c>
      <c r="G27" s="31" t="n">
        <v>45624</v>
      </c>
      <c r="H27" s="31" t="n">
        <v>45632</v>
      </c>
      <c r="I27" s="0" t="n">
        <v>8</v>
      </c>
      <c r="J27" s="32" t="s">
        <v>34</v>
      </c>
      <c r="K27" s="32" t="s">
        <v>64</v>
      </c>
      <c r="L27" s="32" t="s">
        <v>157</v>
      </c>
      <c r="M27" s="30" t="n">
        <v>361</v>
      </c>
    </row>
    <row r="28" customFormat="false" ht="15" hidden="false" customHeight="false" outlineLevel="0" collapsed="false">
      <c r="A28" s="0" t="s">
        <v>158</v>
      </c>
      <c r="B28" s="0" t="s">
        <v>159</v>
      </c>
      <c r="C28" s="0" t="s">
        <v>71</v>
      </c>
      <c r="D28" s="0" t="s">
        <v>93</v>
      </c>
      <c r="E28" s="0" t="n">
        <v>8</v>
      </c>
      <c r="F28" s="30" t="n">
        <v>152</v>
      </c>
      <c r="G28" s="31" t="n">
        <v>45636</v>
      </c>
      <c r="H28" s="31" t="n">
        <v>45656</v>
      </c>
      <c r="I28" s="0" t="n">
        <v>20</v>
      </c>
      <c r="J28" s="32" t="s">
        <v>34</v>
      </c>
      <c r="K28" s="32" t="s">
        <v>42</v>
      </c>
      <c r="M28" s="30" t="n">
        <v>0</v>
      </c>
    </row>
    <row r="29" customFormat="false" ht="15" hidden="false" customHeight="false" outlineLevel="0" collapsed="false">
      <c r="A29" s="0" t="s">
        <v>160</v>
      </c>
      <c r="B29" s="0" t="s">
        <v>161</v>
      </c>
      <c r="C29" s="0" t="s">
        <v>71</v>
      </c>
      <c r="D29" s="0" t="s">
        <v>93</v>
      </c>
      <c r="E29" s="0" t="n">
        <v>10</v>
      </c>
      <c r="F29" s="30" t="n">
        <v>190</v>
      </c>
      <c r="G29" s="31" t="n">
        <v>45652</v>
      </c>
      <c r="H29" s="31" t="n">
        <v>45655</v>
      </c>
      <c r="I29" s="0" t="n">
        <v>3</v>
      </c>
      <c r="J29" s="32" t="s">
        <v>34</v>
      </c>
      <c r="K29" s="32" t="s">
        <v>64</v>
      </c>
      <c r="L29" s="32" t="s">
        <v>162</v>
      </c>
      <c r="M29" s="30" t="n">
        <v>3582</v>
      </c>
    </row>
    <row r="30" customFormat="false" ht="15" hidden="false" customHeight="false" outlineLevel="0" collapsed="false">
      <c r="A30" s="0" t="s">
        <v>163</v>
      </c>
      <c r="B30" s="0" t="s">
        <v>164</v>
      </c>
      <c r="C30" s="0" t="s">
        <v>73</v>
      </c>
      <c r="D30" s="0" t="s">
        <v>93</v>
      </c>
      <c r="E30" s="0" t="n">
        <v>28</v>
      </c>
      <c r="F30" s="30" t="n">
        <v>5572</v>
      </c>
      <c r="G30" s="31" t="n">
        <v>45272</v>
      </c>
      <c r="H30" s="31" t="n">
        <v>45655</v>
      </c>
      <c r="I30" s="0" t="n">
        <v>383</v>
      </c>
      <c r="J30" s="32" t="s">
        <v>34</v>
      </c>
      <c r="K30" s="32" t="s">
        <v>43</v>
      </c>
      <c r="M30" s="30" t="n">
        <v>0</v>
      </c>
    </row>
    <row r="31" customFormat="false" ht="15" hidden="false" customHeight="false" outlineLevel="0" collapsed="false">
      <c r="A31" s="0" t="s">
        <v>165</v>
      </c>
      <c r="B31" s="0" t="s">
        <v>166</v>
      </c>
      <c r="C31" s="0" t="s">
        <v>73</v>
      </c>
      <c r="D31" s="0" t="s">
        <v>93</v>
      </c>
      <c r="E31" s="0" t="n">
        <v>23</v>
      </c>
      <c r="F31" s="30" t="n">
        <v>4577</v>
      </c>
      <c r="G31" s="31" t="n">
        <v>45531</v>
      </c>
      <c r="H31" s="31" t="n">
        <v>45596</v>
      </c>
      <c r="I31" s="0" t="n">
        <v>65</v>
      </c>
      <c r="J31" s="32" t="s">
        <v>34</v>
      </c>
      <c r="K31" s="32" t="s">
        <v>64</v>
      </c>
      <c r="L31" s="32" t="s">
        <v>167</v>
      </c>
      <c r="M31" s="30" t="n">
        <v>1127</v>
      </c>
    </row>
    <row r="32" customFormat="false" ht="15" hidden="false" customHeight="false" outlineLevel="0" collapsed="false">
      <c r="A32" s="0" t="s">
        <v>168</v>
      </c>
      <c r="B32" s="0" t="s">
        <v>169</v>
      </c>
      <c r="C32" s="0" t="s">
        <v>73</v>
      </c>
      <c r="D32" s="0" t="s">
        <v>98</v>
      </c>
      <c r="E32" s="0" t="n">
        <v>29</v>
      </c>
      <c r="F32" s="30" t="n">
        <v>0</v>
      </c>
      <c r="G32" s="31" t="n">
        <v>45518</v>
      </c>
      <c r="H32" s="31" t="n">
        <v>45557</v>
      </c>
      <c r="I32" s="0" t="n">
        <v>39</v>
      </c>
      <c r="J32" s="32" t="s">
        <v>33</v>
      </c>
      <c r="K32" s="32" t="s">
        <v>43</v>
      </c>
      <c r="M32" s="30" t="n">
        <v>0</v>
      </c>
    </row>
    <row r="33" customFormat="false" ht="15" hidden="false" customHeight="false" outlineLevel="0" collapsed="false">
      <c r="A33" s="0" t="s">
        <v>170</v>
      </c>
      <c r="B33" s="0" t="s">
        <v>171</v>
      </c>
      <c r="C33" s="0" t="s">
        <v>71</v>
      </c>
      <c r="D33" s="0" t="s">
        <v>93</v>
      </c>
      <c r="E33" s="0" t="n">
        <v>22</v>
      </c>
      <c r="F33" s="30" t="n">
        <v>418</v>
      </c>
      <c r="G33" s="31" t="n">
        <v>45611</v>
      </c>
      <c r="H33" s="31" t="n">
        <v>45640</v>
      </c>
      <c r="I33" s="0" t="n">
        <v>29</v>
      </c>
      <c r="J33" s="32" t="s">
        <v>34</v>
      </c>
      <c r="K33" s="32" t="s">
        <v>64</v>
      </c>
      <c r="L33" s="32" t="s">
        <v>172</v>
      </c>
      <c r="M33" s="30" t="n">
        <v>4378</v>
      </c>
    </row>
    <row r="34" customFormat="false" ht="15" hidden="false" customHeight="false" outlineLevel="0" collapsed="false">
      <c r="A34" s="0" t="s">
        <v>173</v>
      </c>
      <c r="B34" s="0" t="s">
        <v>174</v>
      </c>
      <c r="C34" s="0" t="s">
        <v>72</v>
      </c>
      <c r="D34" s="0" t="s">
        <v>98</v>
      </c>
      <c r="E34" s="0" t="n">
        <v>87</v>
      </c>
      <c r="F34" s="30" t="n">
        <v>0</v>
      </c>
      <c r="G34" s="31" t="n">
        <v>45486</v>
      </c>
      <c r="H34" s="31" t="n">
        <v>45507</v>
      </c>
      <c r="I34" s="0" t="n">
        <v>21</v>
      </c>
      <c r="J34" s="32" t="s">
        <v>33</v>
      </c>
      <c r="K34" s="32" t="s">
        <v>64</v>
      </c>
      <c r="L34" s="32" t="s">
        <v>175</v>
      </c>
      <c r="M34" s="30" t="n">
        <v>4263</v>
      </c>
    </row>
    <row r="35" customFormat="false" ht="15" hidden="false" customHeight="false" outlineLevel="0" collapsed="false">
      <c r="A35" s="0" t="s">
        <v>176</v>
      </c>
      <c r="B35" s="0" t="s">
        <v>177</v>
      </c>
      <c r="C35" s="0" t="s">
        <v>72</v>
      </c>
      <c r="D35" s="0" t="s">
        <v>93</v>
      </c>
      <c r="E35" s="0" t="n">
        <v>28</v>
      </c>
      <c r="F35" s="30" t="n">
        <v>1372</v>
      </c>
      <c r="G35" s="31" t="n">
        <v>45606</v>
      </c>
      <c r="H35" s="31" t="n">
        <v>45657</v>
      </c>
      <c r="I35" s="0" t="n">
        <v>51</v>
      </c>
      <c r="J35" s="32" t="s">
        <v>34</v>
      </c>
      <c r="K35" s="32" t="s">
        <v>43</v>
      </c>
      <c r="M35" s="30" t="n">
        <v>0</v>
      </c>
    </row>
    <row r="36" customFormat="false" ht="15" hidden="false" customHeight="false" outlineLevel="0" collapsed="false">
      <c r="A36" s="0" t="s">
        <v>178</v>
      </c>
      <c r="B36" s="0" t="s">
        <v>179</v>
      </c>
      <c r="C36" s="0" t="s">
        <v>71</v>
      </c>
      <c r="D36" s="0" t="s">
        <v>93</v>
      </c>
      <c r="E36" s="0" t="n">
        <v>18</v>
      </c>
      <c r="F36" s="30" t="n">
        <v>342</v>
      </c>
      <c r="G36" s="31" t="n">
        <v>45333</v>
      </c>
      <c r="H36" s="31" t="n">
        <v>45379</v>
      </c>
      <c r="I36" s="0" t="n">
        <v>46</v>
      </c>
      <c r="J36" s="32" t="s">
        <v>31</v>
      </c>
      <c r="K36" s="32" t="s">
        <v>43</v>
      </c>
      <c r="M36" s="30" t="n">
        <v>0</v>
      </c>
    </row>
    <row r="37" customFormat="false" ht="15" hidden="false" customHeight="false" outlineLevel="0" collapsed="false">
      <c r="A37" s="0" t="s">
        <v>180</v>
      </c>
      <c r="B37" s="0" t="s">
        <v>181</v>
      </c>
      <c r="C37" s="0" t="s">
        <v>72</v>
      </c>
      <c r="D37" s="0" t="s">
        <v>93</v>
      </c>
      <c r="E37" s="0" t="n">
        <v>46</v>
      </c>
      <c r="F37" s="30" t="n">
        <v>2254</v>
      </c>
      <c r="G37" s="31" t="n">
        <v>45557</v>
      </c>
      <c r="H37" s="31" t="n">
        <v>45564</v>
      </c>
      <c r="I37" s="0" t="n">
        <v>7</v>
      </c>
      <c r="J37" s="32" t="s">
        <v>33</v>
      </c>
      <c r="K37" s="32" t="s">
        <v>64</v>
      </c>
      <c r="L37" s="32" t="s">
        <v>182</v>
      </c>
      <c r="M37" s="30" t="n">
        <v>1225</v>
      </c>
    </row>
    <row r="38" customFormat="false" ht="15" hidden="false" customHeight="false" outlineLevel="0" collapsed="false">
      <c r="A38" s="0" t="s">
        <v>183</v>
      </c>
      <c r="B38" s="0" t="s">
        <v>184</v>
      </c>
      <c r="C38" s="0" t="s">
        <v>73</v>
      </c>
      <c r="D38" s="0" t="s">
        <v>93</v>
      </c>
      <c r="E38" s="0" t="n">
        <v>36</v>
      </c>
      <c r="F38" s="30" t="n">
        <v>7164</v>
      </c>
      <c r="G38" s="31" t="n">
        <v>45242</v>
      </c>
      <c r="H38" s="31" t="n">
        <v>45594</v>
      </c>
      <c r="I38" s="0" t="n">
        <v>352</v>
      </c>
      <c r="J38" s="32" t="s">
        <v>34</v>
      </c>
      <c r="K38" s="32" t="s">
        <v>43</v>
      </c>
      <c r="M38" s="30" t="n">
        <v>0</v>
      </c>
    </row>
    <row r="39" customFormat="false" ht="15" hidden="false" customHeight="false" outlineLevel="0" collapsed="false">
      <c r="A39" s="0" t="s">
        <v>185</v>
      </c>
      <c r="B39" s="0" t="s">
        <v>186</v>
      </c>
      <c r="C39" s="0" t="s">
        <v>72</v>
      </c>
      <c r="D39" s="0" t="s">
        <v>98</v>
      </c>
      <c r="E39" s="0" t="n">
        <v>31</v>
      </c>
      <c r="F39" s="30" t="n">
        <v>0</v>
      </c>
      <c r="G39" s="31" t="n">
        <v>45651</v>
      </c>
      <c r="H39" s="31" t="n">
        <v>45657</v>
      </c>
      <c r="I39" s="0" t="n">
        <v>6</v>
      </c>
      <c r="J39" s="32" t="s">
        <v>34</v>
      </c>
      <c r="K39" s="32" t="s">
        <v>64</v>
      </c>
      <c r="L39" s="32" t="s">
        <v>187</v>
      </c>
      <c r="M39" s="30" t="n">
        <v>1519</v>
      </c>
    </row>
    <row r="40" customFormat="false" ht="15" hidden="false" customHeight="false" outlineLevel="0" collapsed="false">
      <c r="A40" s="0" t="s">
        <v>188</v>
      </c>
      <c r="B40" s="0" t="s">
        <v>189</v>
      </c>
      <c r="C40" s="0" t="s">
        <v>72</v>
      </c>
      <c r="D40" s="0" t="s">
        <v>93</v>
      </c>
      <c r="E40" s="0" t="n">
        <v>53</v>
      </c>
      <c r="F40" s="30" t="n">
        <v>2597</v>
      </c>
      <c r="G40" s="31" t="n">
        <v>45188</v>
      </c>
      <c r="H40" s="31" t="n">
        <v>45295</v>
      </c>
      <c r="I40" s="0" t="n">
        <v>107</v>
      </c>
      <c r="J40" s="32" t="s">
        <v>31</v>
      </c>
      <c r="K40" s="32" t="s">
        <v>64</v>
      </c>
      <c r="L40" s="32" t="s">
        <v>190</v>
      </c>
      <c r="M40" s="30" t="n">
        <v>1007</v>
      </c>
    </row>
    <row r="41" customFormat="false" ht="15" hidden="false" customHeight="false" outlineLevel="0" collapsed="false">
      <c r="A41" s="0" t="s">
        <v>191</v>
      </c>
      <c r="B41" s="0" t="s">
        <v>192</v>
      </c>
      <c r="C41" s="0" t="s">
        <v>72</v>
      </c>
      <c r="D41" s="0" t="s">
        <v>93</v>
      </c>
      <c r="E41" s="0" t="n">
        <v>5</v>
      </c>
      <c r="F41" s="30" t="n">
        <v>245</v>
      </c>
      <c r="G41" s="31" t="n">
        <v>45018</v>
      </c>
      <c r="H41" s="31" t="n">
        <v>45021</v>
      </c>
      <c r="I41" s="0" t="n">
        <v>3</v>
      </c>
      <c r="J41" s="32" t="s">
        <v>28</v>
      </c>
      <c r="K41" s="32" t="s">
        <v>64</v>
      </c>
      <c r="L41" s="32" t="s">
        <v>193</v>
      </c>
      <c r="M41" s="30" t="n">
        <v>0</v>
      </c>
    </row>
    <row r="42" customFormat="false" ht="15" hidden="false" customHeight="false" outlineLevel="0" collapsed="false">
      <c r="A42" s="0" t="s">
        <v>194</v>
      </c>
      <c r="B42" s="0" t="s">
        <v>195</v>
      </c>
      <c r="C42" s="0" t="s">
        <v>72</v>
      </c>
      <c r="D42" s="0" t="s">
        <v>93</v>
      </c>
      <c r="E42" s="0" t="n">
        <v>14</v>
      </c>
      <c r="F42" s="30" t="n">
        <v>686</v>
      </c>
      <c r="G42" s="31" t="n">
        <v>45580</v>
      </c>
      <c r="H42" s="31" t="n">
        <v>45603</v>
      </c>
      <c r="I42" s="0" t="n">
        <v>23</v>
      </c>
      <c r="J42" s="32" t="s">
        <v>34</v>
      </c>
      <c r="K42" s="32" t="s">
        <v>42</v>
      </c>
      <c r="M42" s="30" t="n">
        <v>0</v>
      </c>
    </row>
    <row r="43" customFormat="false" ht="15" hidden="false" customHeight="false" outlineLevel="0" collapsed="false">
      <c r="A43" s="0" t="s">
        <v>196</v>
      </c>
      <c r="B43" s="0" t="s">
        <v>197</v>
      </c>
      <c r="C43" s="0" t="s">
        <v>72</v>
      </c>
      <c r="D43" s="0" t="s">
        <v>93</v>
      </c>
      <c r="E43" s="0" t="n">
        <v>36</v>
      </c>
      <c r="F43" s="30" t="n">
        <v>1764</v>
      </c>
      <c r="G43" s="31" t="n">
        <v>45624</v>
      </c>
      <c r="H43" s="31" t="n">
        <v>45635</v>
      </c>
      <c r="I43" s="0" t="n">
        <v>11</v>
      </c>
      <c r="J43" s="32" t="s">
        <v>34</v>
      </c>
      <c r="K43" s="32" t="s">
        <v>64</v>
      </c>
      <c r="L43" s="32" t="s">
        <v>198</v>
      </c>
      <c r="M43" s="30" t="n">
        <v>0</v>
      </c>
    </row>
    <row r="44" customFormat="false" ht="15" hidden="false" customHeight="false" outlineLevel="0" collapsed="false">
      <c r="A44" s="0" t="s">
        <v>199</v>
      </c>
      <c r="B44" s="0" t="s">
        <v>200</v>
      </c>
      <c r="C44" s="0" t="s">
        <v>71</v>
      </c>
      <c r="D44" s="0" t="s">
        <v>93</v>
      </c>
      <c r="E44" s="0" t="n">
        <v>6</v>
      </c>
      <c r="F44" s="30" t="n">
        <v>114</v>
      </c>
      <c r="G44" s="31" t="n">
        <v>45657</v>
      </c>
      <c r="H44" s="31" t="n">
        <v>45657</v>
      </c>
      <c r="I44" s="0" t="n">
        <v>0</v>
      </c>
      <c r="J44" s="32" t="s">
        <v>34</v>
      </c>
      <c r="K44" s="32" t="s">
        <v>64</v>
      </c>
      <c r="L44" s="32" t="s">
        <v>201</v>
      </c>
      <c r="M44" s="30" t="n">
        <v>0</v>
      </c>
    </row>
    <row r="45" customFormat="false" ht="15" hidden="false" customHeight="false" outlineLevel="0" collapsed="false">
      <c r="A45" s="0" t="s">
        <v>202</v>
      </c>
      <c r="B45" s="0" t="s">
        <v>203</v>
      </c>
      <c r="C45" s="0" t="s">
        <v>73</v>
      </c>
      <c r="D45" s="0" t="s">
        <v>93</v>
      </c>
      <c r="E45" s="0" t="n">
        <v>10</v>
      </c>
      <c r="F45" s="30" t="n">
        <v>1990</v>
      </c>
      <c r="G45" s="31" t="n">
        <v>45612</v>
      </c>
      <c r="H45" s="31" t="n">
        <v>45618</v>
      </c>
      <c r="I45" s="0" t="n">
        <v>6</v>
      </c>
      <c r="J45" s="32" t="s">
        <v>34</v>
      </c>
      <c r="K45" s="32" t="s">
        <v>64</v>
      </c>
      <c r="L45" s="32" t="s">
        <v>204</v>
      </c>
      <c r="M45" s="30" t="n">
        <v>441</v>
      </c>
    </row>
    <row r="46" customFormat="false" ht="15" hidden="false" customHeight="false" outlineLevel="0" collapsed="false">
      <c r="A46" s="0" t="s">
        <v>205</v>
      </c>
      <c r="B46" s="0" t="s">
        <v>206</v>
      </c>
      <c r="C46" s="0" t="s">
        <v>72</v>
      </c>
      <c r="D46" s="0" t="s">
        <v>93</v>
      </c>
      <c r="E46" s="0" t="n">
        <v>18</v>
      </c>
      <c r="F46" s="30" t="n">
        <v>882</v>
      </c>
      <c r="G46" s="31" t="n">
        <v>45490</v>
      </c>
      <c r="H46" s="31" t="n">
        <v>45588</v>
      </c>
      <c r="I46" s="0" t="n">
        <v>98</v>
      </c>
      <c r="J46" s="32" t="s">
        <v>34</v>
      </c>
      <c r="K46" s="32" t="s">
        <v>43</v>
      </c>
      <c r="M46" s="30" t="n">
        <v>0</v>
      </c>
    </row>
    <row r="47" customFormat="false" ht="15" hidden="false" customHeight="false" outlineLevel="0" collapsed="false">
      <c r="A47" s="0" t="s">
        <v>207</v>
      </c>
      <c r="B47" s="0" t="s">
        <v>208</v>
      </c>
      <c r="C47" s="0" t="s">
        <v>73</v>
      </c>
      <c r="D47" s="0" t="s">
        <v>93</v>
      </c>
      <c r="E47" s="0" t="n">
        <v>17</v>
      </c>
      <c r="F47" s="30" t="n">
        <v>3383</v>
      </c>
      <c r="G47" s="31" t="n">
        <v>45391</v>
      </c>
      <c r="H47" s="31" t="n">
        <v>45496</v>
      </c>
      <c r="I47" s="0" t="n">
        <v>105</v>
      </c>
      <c r="J47" s="32" t="s">
        <v>33</v>
      </c>
      <c r="K47" s="32" t="s">
        <v>43</v>
      </c>
      <c r="M47" s="30" t="n">
        <v>0</v>
      </c>
    </row>
    <row r="48" customFormat="false" ht="15" hidden="false" customHeight="false" outlineLevel="0" collapsed="false">
      <c r="A48" s="0" t="s">
        <v>209</v>
      </c>
      <c r="B48" s="0" t="s">
        <v>210</v>
      </c>
      <c r="C48" s="0" t="s">
        <v>73</v>
      </c>
      <c r="D48" s="0" t="s">
        <v>93</v>
      </c>
      <c r="E48" s="0" t="n">
        <v>17</v>
      </c>
      <c r="F48" s="30" t="n">
        <v>3383</v>
      </c>
      <c r="G48" s="31" t="n">
        <v>45654</v>
      </c>
      <c r="H48" s="31" t="n">
        <v>45654</v>
      </c>
      <c r="I48" s="0" t="n">
        <v>0</v>
      </c>
      <c r="J48" s="32" t="s">
        <v>34</v>
      </c>
      <c r="K48" s="32" t="s">
        <v>64</v>
      </c>
      <c r="L48" s="32" t="s">
        <v>211</v>
      </c>
      <c r="M48" s="30" t="n">
        <v>588</v>
      </c>
    </row>
    <row r="49" customFormat="false" ht="15" hidden="false" customHeight="false" outlineLevel="0" collapsed="false">
      <c r="A49" s="0" t="s">
        <v>212</v>
      </c>
      <c r="B49" s="0" t="s">
        <v>213</v>
      </c>
      <c r="C49" s="0" t="s">
        <v>72</v>
      </c>
      <c r="D49" s="0" t="s">
        <v>93</v>
      </c>
      <c r="E49" s="0" t="n">
        <v>33</v>
      </c>
      <c r="F49" s="30" t="n">
        <v>1617</v>
      </c>
      <c r="G49" s="31" t="n">
        <v>45443</v>
      </c>
      <c r="H49" s="31" t="n">
        <v>45560</v>
      </c>
      <c r="I49" s="0" t="n">
        <v>117</v>
      </c>
      <c r="J49" s="32" t="s">
        <v>33</v>
      </c>
      <c r="K49" s="32" t="s">
        <v>43</v>
      </c>
      <c r="M49" s="30" t="n">
        <v>0</v>
      </c>
    </row>
    <row r="50" customFormat="false" ht="15" hidden="false" customHeight="false" outlineLevel="0" collapsed="false">
      <c r="A50" s="0" t="s">
        <v>214</v>
      </c>
      <c r="B50" s="0" t="s">
        <v>215</v>
      </c>
      <c r="C50" s="0" t="s">
        <v>72</v>
      </c>
      <c r="D50" s="0" t="s">
        <v>98</v>
      </c>
      <c r="E50" s="0" t="n">
        <v>22</v>
      </c>
      <c r="F50" s="30" t="n">
        <v>0</v>
      </c>
      <c r="G50" s="31" t="n">
        <v>45398</v>
      </c>
      <c r="H50" s="31" t="n">
        <v>45430</v>
      </c>
      <c r="I50" s="0" t="n">
        <v>32</v>
      </c>
      <c r="J50" s="32" t="s">
        <v>32</v>
      </c>
      <c r="K50" s="32" t="s">
        <v>64</v>
      </c>
      <c r="L50" s="32" t="s">
        <v>216</v>
      </c>
      <c r="M50" s="30" t="n">
        <v>114</v>
      </c>
    </row>
    <row r="51" customFormat="false" ht="15" hidden="false" customHeight="false" outlineLevel="0" collapsed="false">
      <c r="A51" s="0" t="s">
        <v>217</v>
      </c>
      <c r="B51" s="0" t="s">
        <v>218</v>
      </c>
      <c r="C51" s="0" t="s">
        <v>72</v>
      </c>
      <c r="D51" s="0" t="s">
        <v>93</v>
      </c>
      <c r="E51" s="0" t="n">
        <v>45</v>
      </c>
      <c r="F51" s="30" t="n">
        <v>2205</v>
      </c>
      <c r="G51" s="31" t="n">
        <v>45312</v>
      </c>
      <c r="H51" s="31" t="n">
        <v>45372</v>
      </c>
      <c r="I51" s="0" t="n">
        <v>60</v>
      </c>
      <c r="J51" s="32" t="s">
        <v>31</v>
      </c>
      <c r="K51" s="32" t="s">
        <v>43</v>
      </c>
      <c r="M51" s="30" t="n">
        <v>0</v>
      </c>
    </row>
    <row r="52" customFormat="false" ht="15" hidden="false" customHeight="false" outlineLevel="0" collapsed="false">
      <c r="A52" s="0" t="s">
        <v>219</v>
      </c>
      <c r="B52" s="0" t="s">
        <v>220</v>
      </c>
      <c r="C52" s="0" t="s">
        <v>72</v>
      </c>
      <c r="D52" s="0" t="s">
        <v>98</v>
      </c>
      <c r="E52" s="0" t="n">
        <v>14</v>
      </c>
      <c r="F52" s="30" t="n">
        <v>0</v>
      </c>
      <c r="G52" s="31" t="n">
        <v>45363</v>
      </c>
      <c r="H52" s="31" t="n">
        <v>45654</v>
      </c>
      <c r="I52" s="0" t="n">
        <v>291</v>
      </c>
      <c r="J52" s="32" t="s">
        <v>34</v>
      </c>
      <c r="K52" s="32" t="s">
        <v>43</v>
      </c>
      <c r="M52" s="30" t="n">
        <v>0</v>
      </c>
    </row>
    <row r="53" customFormat="false" ht="15" hidden="false" customHeight="false" outlineLevel="0" collapsed="false">
      <c r="A53" s="0" t="s">
        <v>221</v>
      </c>
      <c r="B53" s="0" t="s">
        <v>116</v>
      </c>
      <c r="C53" s="0" t="s">
        <v>73</v>
      </c>
      <c r="D53" s="0" t="s">
        <v>93</v>
      </c>
      <c r="E53" s="0" t="n">
        <v>19</v>
      </c>
      <c r="F53" s="30" t="n">
        <v>3781</v>
      </c>
      <c r="G53" s="31" t="n">
        <v>45535</v>
      </c>
      <c r="H53" s="31" t="n">
        <v>45560</v>
      </c>
      <c r="I53" s="0" t="n">
        <v>25</v>
      </c>
      <c r="J53" s="32" t="s">
        <v>33</v>
      </c>
      <c r="K53" s="32" t="s">
        <v>64</v>
      </c>
      <c r="L53" s="32" t="s">
        <v>222</v>
      </c>
      <c r="M53" s="30" t="n">
        <v>1194</v>
      </c>
    </row>
    <row r="54" customFormat="false" ht="15" hidden="false" customHeight="false" outlineLevel="0" collapsed="false">
      <c r="A54" s="0" t="s">
        <v>223</v>
      </c>
      <c r="B54" s="0" t="s">
        <v>224</v>
      </c>
      <c r="C54" s="0" t="s">
        <v>73</v>
      </c>
      <c r="D54" s="0" t="s">
        <v>93</v>
      </c>
      <c r="E54" s="0" t="n">
        <v>17</v>
      </c>
      <c r="F54" s="30" t="n">
        <v>3383</v>
      </c>
      <c r="G54" s="31" t="n">
        <v>45058</v>
      </c>
      <c r="H54" s="31" t="n">
        <v>45312</v>
      </c>
      <c r="I54" s="0" t="n">
        <v>254</v>
      </c>
      <c r="J54" s="32" t="s">
        <v>31</v>
      </c>
      <c r="K54" s="32" t="s">
        <v>43</v>
      </c>
      <c r="M54" s="30" t="n">
        <v>0</v>
      </c>
    </row>
    <row r="55" customFormat="false" ht="15" hidden="false" customHeight="false" outlineLevel="0" collapsed="false">
      <c r="A55" s="0" t="s">
        <v>225</v>
      </c>
      <c r="B55" s="0" t="s">
        <v>226</v>
      </c>
      <c r="C55" s="0" t="s">
        <v>73</v>
      </c>
      <c r="D55" s="0" t="s">
        <v>93</v>
      </c>
      <c r="E55" s="0" t="n">
        <v>8</v>
      </c>
      <c r="F55" s="30" t="n">
        <v>1592</v>
      </c>
      <c r="G55" s="31" t="n">
        <v>45626</v>
      </c>
      <c r="H55" s="31" t="n">
        <v>45633</v>
      </c>
      <c r="I55" s="0" t="n">
        <v>7</v>
      </c>
      <c r="J55" s="32" t="s">
        <v>34</v>
      </c>
      <c r="K55" s="32" t="s">
        <v>64</v>
      </c>
      <c r="L55" s="32" t="s">
        <v>227</v>
      </c>
      <c r="M55" s="30" t="n">
        <v>0</v>
      </c>
    </row>
    <row r="56" customFormat="false" ht="15" hidden="false" customHeight="false" outlineLevel="0" collapsed="false">
      <c r="A56" s="0" t="s">
        <v>228</v>
      </c>
      <c r="B56" s="0" t="s">
        <v>229</v>
      </c>
      <c r="C56" s="0" t="s">
        <v>72</v>
      </c>
      <c r="D56" s="0" t="s">
        <v>98</v>
      </c>
      <c r="E56" s="0" t="n">
        <v>64</v>
      </c>
      <c r="F56" s="30" t="n">
        <v>0</v>
      </c>
      <c r="G56" s="31" t="n">
        <v>45585</v>
      </c>
      <c r="H56" s="31" t="n">
        <v>45644</v>
      </c>
      <c r="I56" s="0" t="n">
        <v>59</v>
      </c>
      <c r="J56" s="32" t="s">
        <v>34</v>
      </c>
      <c r="K56" s="32" t="s">
        <v>64</v>
      </c>
      <c r="L56" s="32" t="s">
        <v>230</v>
      </c>
      <c r="M56" s="30" t="n">
        <v>637</v>
      </c>
    </row>
    <row r="57" customFormat="false" ht="15" hidden="false" customHeight="false" outlineLevel="0" collapsed="false">
      <c r="A57" s="0" t="s">
        <v>231</v>
      </c>
      <c r="B57" s="0" t="s">
        <v>232</v>
      </c>
      <c r="C57" s="0" t="s">
        <v>72</v>
      </c>
      <c r="D57" s="0" t="s">
        <v>93</v>
      </c>
      <c r="E57" s="0" t="n">
        <v>11</v>
      </c>
      <c r="F57" s="30" t="n">
        <v>539</v>
      </c>
      <c r="G57" s="31" t="n">
        <v>45294</v>
      </c>
      <c r="H57" s="31" t="n">
        <v>45319</v>
      </c>
      <c r="I57" s="0" t="n">
        <v>25</v>
      </c>
      <c r="J57" s="32" t="s">
        <v>31</v>
      </c>
      <c r="K57" s="32" t="s">
        <v>42</v>
      </c>
      <c r="M57" s="30" t="n">
        <v>0</v>
      </c>
    </row>
    <row r="58" customFormat="false" ht="15" hidden="false" customHeight="false" outlineLevel="0" collapsed="false">
      <c r="A58" s="0" t="s">
        <v>233</v>
      </c>
      <c r="B58" s="0" t="s">
        <v>234</v>
      </c>
      <c r="C58" s="0" t="s">
        <v>72</v>
      </c>
      <c r="D58" s="0" t="s">
        <v>93</v>
      </c>
      <c r="E58" s="0" t="n">
        <v>18</v>
      </c>
      <c r="F58" s="30" t="n">
        <v>882</v>
      </c>
      <c r="G58" s="31" t="n">
        <v>45636</v>
      </c>
      <c r="H58" s="31" t="n">
        <v>45654</v>
      </c>
      <c r="I58" s="0" t="n">
        <v>18</v>
      </c>
      <c r="J58" s="32" t="s">
        <v>34</v>
      </c>
      <c r="K58" s="32" t="s">
        <v>42</v>
      </c>
      <c r="M58" s="30" t="n">
        <v>0</v>
      </c>
    </row>
    <row r="59" customFormat="false" ht="15" hidden="false" customHeight="false" outlineLevel="0" collapsed="false">
      <c r="A59" s="0" t="s">
        <v>235</v>
      </c>
      <c r="B59" s="0" t="s">
        <v>236</v>
      </c>
      <c r="C59" s="0" t="s">
        <v>71</v>
      </c>
      <c r="D59" s="0" t="s">
        <v>98</v>
      </c>
      <c r="E59" s="0" t="n">
        <v>25</v>
      </c>
      <c r="F59" s="30" t="n">
        <v>0</v>
      </c>
      <c r="G59" s="31" t="n">
        <v>45580</v>
      </c>
      <c r="H59" s="31" t="n">
        <v>45602</v>
      </c>
      <c r="I59" s="0" t="n">
        <v>22</v>
      </c>
      <c r="J59" s="32" t="s">
        <v>34</v>
      </c>
      <c r="K59" s="32" t="s">
        <v>42</v>
      </c>
      <c r="M59" s="30" t="n">
        <v>0</v>
      </c>
    </row>
    <row r="60" customFormat="false" ht="15" hidden="false" customHeight="false" outlineLevel="0" collapsed="false">
      <c r="A60" s="0" t="s">
        <v>237</v>
      </c>
      <c r="B60" s="0" t="s">
        <v>238</v>
      </c>
      <c r="C60" s="0" t="s">
        <v>73</v>
      </c>
      <c r="D60" s="0" t="s">
        <v>93</v>
      </c>
      <c r="E60" s="0" t="n">
        <v>41</v>
      </c>
      <c r="F60" s="30" t="n">
        <v>8159</v>
      </c>
      <c r="G60" s="31" t="n">
        <v>45628</v>
      </c>
      <c r="H60" s="31" t="n">
        <v>45651</v>
      </c>
      <c r="I60" s="0" t="n">
        <v>23</v>
      </c>
      <c r="J60" s="32" t="s">
        <v>34</v>
      </c>
      <c r="K60" s="32" t="s">
        <v>64</v>
      </c>
      <c r="L60" s="32" t="s">
        <v>239</v>
      </c>
      <c r="M60" s="30" t="n">
        <v>779</v>
      </c>
    </row>
    <row r="61" customFormat="false" ht="15" hidden="false" customHeight="false" outlineLevel="0" collapsed="false">
      <c r="A61" s="0" t="s">
        <v>240</v>
      </c>
      <c r="B61" s="0" t="s">
        <v>184</v>
      </c>
      <c r="C61" s="0" t="s">
        <v>72</v>
      </c>
      <c r="D61" s="0" t="s">
        <v>93</v>
      </c>
      <c r="E61" s="0" t="n">
        <v>19</v>
      </c>
      <c r="F61" s="30" t="n">
        <v>931</v>
      </c>
      <c r="G61" s="31" t="n">
        <v>44969</v>
      </c>
      <c r="H61" s="31" t="n">
        <v>45254</v>
      </c>
      <c r="I61" s="0" t="n">
        <v>285</v>
      </c>
      <c r="J61" s="32" t="s">
        <v>30</v>
      </c>
      <c r="K61" s="32" t="s">
        <v>43</v>
      </c>
      <c r="M61" s="30" t="n">
        <v>0</v>
      </c>
    </row>
    <row r="62" customFormat="false" ht="15" hidden="false" customHeight="false" outlineLevel="0" collapsed="false">
      <c r="A62" s="0" t="s">
        <v>241</v>
      </c>
      <c r="B62" s="0" t="s">
        <v>242</v>
      </c>
      <c r="C62" s="0" t="s">
        <v>72</v>
      </c>
      <c r="D62" s="0" t="s">
        <v>93</v>
      </c>
      <c r="E62" s="0" t="n">
        <v>3</v>
      </c>
      <c r="F62" s="30" t="n">
        <v>147</v>
      </c>
      <c r="G62" s="31" t="n">
        <v>45648</v>
      </c>
      <c r="H62" s="31" t="n">
        <v>45656</v>
      </c>
      <c r="I62" s="0" t="n">
        <v>8</v>
      </c>
      <c r="J62" s="32" t="s">
        <v>34</v>
      </c>
      <c r="K62" s="32" t="s">
        <v>64</v>
      </c>
      <c r="L62" s="32" t="s">
        <v>243</v>
      </c>
      <c r="M62" s="30" t="n">
        <v>0</v>
      </c>
    </row>
    <row r="63" customFormat="false" ht="15" hidden="false" customHeight="false" outlineLevel="0" collapsed="false">
      <c r="A63" s="0" t="s">
        <v>244</v>
      </c>
      <c r="B63" s="0" t="s">
        <v>245</v>
      </c>
      <c r="C63" s="0" t="s">
        <v>73</v>
      </c>
      <c r="D63" s="0" t="s">
        <v>93</v>
      </c>
      <c r="E63" s="0" t="n">
        <v>16</v>
      </c>
      <c r="F63" s="30" t="n">
        <v>3184</v>
      </c>
      <c r="G63" s="31" t="n">
        <v>45634</v>
      </c>
      <c r="H63" s="31" t="n">
        <v>45651</v>
      </c>
      <c r="I63" s="0" t="n">
        <v>17</v>
      </c>
      <c r="J63" s="32" t="s">
        <v>34</v>
      </c>
      <c r="K63" s="32" t="s">
        <v>64</v>
      </c>
      <c r="L63" s="32" t="s">
        <v>246</v>
      </c>
      <c r="M63" s="30" t="n">
        <v>722</v>
      </c>
    </row>
    <row r="64" customFormat="false" ht="15" hidden="false" customHeight="false" outlineLevel="0" collapsed="false">
      <c r="A64" s="0" t="s">
        <v>247</v>
      </c>
      <c r="B64" s="0" t="s">
        <v>129</v>
      </c>
      <c r="C64" s="0" t="s">
        <v>72</v>
      </c>
      <c r="D64" s="0" t="s">
        <v>98</v>
      </c>
      <c r="E64" s="0" t="n">
        <v>17</v>
      </c>
      <c r="F64" s="30" t="n">
        <v>0</v>
      </c>
      <c r="G64" s="31" t="n">
        <v>45153</v>
      </c>
      <c r="H64" s="31" t="n">
        <v>45233</v>
      </c>
      <c r="I64" s="0" t="n">
        <v>80</v>
      </c>
      <c r="J64" s="32" t="s">
        <v>30</v>
      </c>
      <c r="K64" s="32" t="s">
        <v>43</v>
      </c>
      <c r="M64" s="30" t="n">
        <v>0</v>
      </c>
    </row>
    <row r="65" customFormat="false" ht="15" hidden="false" customHeight="false" outlineLevel="0" collapsed="false">
      <c r="A65" s="0" t="s">
        <v>248</v>
      </c>
      <c r="B65" s="0" t="s">
        <v>249</v>
      </c>
      <c r="C65" s="0" t="s">
        <v>73</v>
      </c>
      <c r="D65" s="0" t="s">
        <v>93</v>
      </c>
      <c r="E65" s="0" t="n">
        <v>25</v>
      </c>
      <c r="F65" s="30" t="n">
        <v>4975</v>
      </c>
      <c r="G65" s="31" t="n">
        <v>45645</v>
      </c>
      <c r="H65" s="31" t="n">
        <v>45656</v>
      </c>
      <c r="I65" s="0" t="n">
        <v>11</v>
      </c>
      <c r="J65" s="32" t="s">
        <v>34</v>
      </c>
      <c r="K65" s="32" t="s">
        <v>42</v>
      </c>
      <c r="M65" s="30" t="n">
        <v>0</v>
      </c>
    </row>
    <row r="66" customFormat="false" ht="15" hidden="false" customHeight="false" outlineLevel="0" collapsed="false">
      <c r="A66" s="0" t="s">
        <v>250</v>
      </c>
      <c r="B66" s="0" t="s">
        <v>251</v>
      </c>
      <c r="C66" s="0" t="s">
        <v>73</v>
      </c>
      <c r="D66" s="0" t="s">
        <v>98</v>
      </c>
      <c r="E66" s="0" t="n">
        <v>82</v>
      </c>
      <c r="F66" s="30" t="n">
        <v>0</v>
      </c>
      <c r="G66" s="31" t="n">
        <v>45472</v>
      </c>
      <c r="H66" s="31" t="n">
        <v>45602</v>
      </c>
      <c r="I66" s="0" t="n">
        <v>130</v>
      </c>
      <c r="J66" s="32" t="s">
        <v>34</v>
      </c>
      <c r="K66" s="32" t="s">
        <v>43</v>
      </c>
      <c r="M66" s="30" t="n">
        <v>0</v>
      </c>
    </row>
    <row r="67" customFormat="false" ht="15" hidden="false" customHeight="false" outlineLevel="0" collapsed="false">
      <c r="A67" s="0" t="s">
        <v>252</v>
      </c>
      <c r="B67" s="0" t="s">
        <v>253</v>
      </c>
      <c r="C67" s="0" t="s">
        <v>71</v>
      </c>
      <c r="D67" s="0" t="s">
        <v>93</v>
      </c>
      <c r="E67" s="0" t="n">
        <v>38</v>
      </c>
      <c r="F67" s="30" t="n">
        <v>722</v>
      </c>
      <c r="G67" s="31" t="n">
        <v>45612</v>
      </c>
      <c r="H67" s="31" t="n">
        <v>45616</v>
      </c>
      <c r="I67" s="0" t="n">
        <v>4</v>
      </c>
      <c r="J67" s="32" t="s">
        <v>34</v>
      </c>
      <c r="K67" s="32" t="s">
        <v>42</v>
      </c>
      <c r="M67" s="30" t="n">
        <v>0</v>
      </c>
    </row>
    <row r="68" customFormat="false" ht="15" hidden="false" customHeight="false" outlineLevel="0" collapsed="false">
      <c r="A68" s="0" t="s">
        <v>254</v>
      </c>
      <c r="B68" s="0" t="s">
        <v>255</v>
      </c>
      <c r="C68" s="0" t="s">
        <v>71</v>
      </c>
      <c r="D68" s="0" t="s">
        <v>93</v>
      </c>
      <c r="E68" s="0" t="n">
        <v>55</v>
      </c>
      <c r="F68" s="30" t="n">
        <v>1045</v>
      </c>
      <c r="G68" s="31" t="n">
        <v>45536</v>
      </c>
      <c r="H68" s="31" t="n">
        <v>45541</v>
      </c>
      <c r="I68" s="0" t="n">
        <v>5</v>
      </c>
      <c r="J68" s="32" t="s">
        <v>33</v>
      </c>
      <c r="K68" s="32" t="s">
        <v>64</v>
      </c>
      <c r="L68" s="32" t="s">
        <v>256</v>
      </c>
      <c r="M68" s="30" t="n">
        <v>0</v>
      </c>
    </row>
    <row r="69" customFormat="false" ht="15" hidden="false" customHeight="false" outlineLevel="0" collapsed="false">
      <c r="A69" s="0" t="s">
        <v>257</v>
      </c>
      <c r="B69" s="0" t="s">
        <v>258</v>
      </c>
      <c r="C69" s="0" t="s">
        <v>71</v>
      </c>
      <c r="D69" s="0" t="s">
        <v>93</v>
      </c>
      <c r="E69" s="0" t="n">
        <v>58</v>
      </c>
      <c r="F69" s="30" t="n">
        <v>1102</v>
      </c>
      <c r="G69" s="31" t="n">
        <v>45529</v>
      </c>
      <c r="H69" s="31" t="n">
        <v>45567</v>
      </c>
      <c r="I69" s="0" t="n">
        <v>38</v>
      </c>
      <c r="J69" s="32" t="s">
        <v>34</v>
      </c>
      <c r="K69" s="32" t="s">
        <v>64</v>
      </c>
      <c r="L69" s="32" t="s">
        <v>259</v>
      </c>
      <c r="M69" s="30" t="n">
        <v>1102</v>
      </c>
    </row>
    <row r="70" customFormat="false" ht="15" hidden="false" customHeight="false" outlineLevel="0" collapsed="false">
      <c r="A70" s="0" t="s">
        <v>260</v>
      </c>
      <c r="B70" s="0" t="s">
        <v>261</v>
      </c>
      <c r="C70" s="0" t="s">
        <v>72</v>
      </c>
      <c r="D70" s="0" t="s">
        <v>98</v>
      </c>
      <c r="E70" s="0" t="n">
        <v>105</v>
      </c>
      <c r="F70" s="30" t="n">
        <v>0</v>
      </c>
      <c r="G70" s="31" t="n">
        <v>45350</v>
      </c>
      <c r="H70" s="31" t="n">
        <v>45595</v>
      </c>
      <c r="I70" s="0" t="n">
        <v>245</v>
      </c>
      <c r="J70" s="32" t="s">
        <v>34</v>
      </c>
      <c r="K70" s="32" t="s">
        <v>64</v>
      </c>
      <c r="L70" s="32" t="s">
        <v>262</v>
      </c>
      <c r="M70" s="30" t="n">
        <v>1995</v>
      </c>
    </row>
    <row r="71" customFormat="false" ht="15" hidden="false" customHeight="false" outlineLevel="0" collapsed="false">
      <c r="A71" s="0" t="s">
        <v>263</v>
      </c>
      <c r="B71" s="0" t="s">
        <v>264</v>
      </c>
      <c r="C71" s="0" t="s">
        <v>71</v>
      </c>
      <c r="D71" s="0" t="s">
        <v>93</v>
      </c>
      <c r="E71" s="0" t="n">
        <v>25</v>
      </c>
      <c r="F71" s="30" t="n">
        <v>475</v>
      </c>
      <c r="G71" s="31" t="n">
        <v>45616</v>
      </c>
      <c r="H71" s="31" t="n">
        <v>45652</v>
      </c>
      <c r="I71" s="0" t="n">
        <v>36</v>
      </c>
      <c r="J71" s="32" t="s">
        <v>34</v>
      </c>
      <c r="K71" s="32" t="s">
        <v>64</v>
      </c>
      <c r="L71" s="32" t="s">
        <v>265</v>
      </c>
      <c r="M71" s="30" t="n">
        <v>4975</v>
      </c>
    </row>
    <row r="72" customFormat="false" ht="15" hidden="false" customHeight="false" outlineLevel="0" collapsed="false">
      <c r="A72" s="0" t="s">
        <v>266</v>
      </c>
      <c r="B72" s="0" t="s">
        <v>267</v>
      </c>
      <c r="C72" s="0" t="s">
        <v>72</v>
      </c>
      <c r="D72" s="0" t="s">
        <v>93</v>
      </c>
      <c r="E72" s="0" t="n">
        <v>7</v>
      </c>
      <c r="F72" s="30" t="n">
        <v>343</v>
      </c>
      <c r="G72" s="31" t="n">
        <v>45312</v>
      </c>
      <c r="H72" s="31" t="n">
        <v>45404</v>
      </c>
      <c r="I72" s="0" t="n">
        <v>92</v>
      </c>
      <c r="J72" s="32" t="s">
        <v>32</v>
      </c>
      <c r="K72" s="32" t="s">
        <v>43</v>
      </c>
      <c r="M72" s="30" t="n">
        <v>0</v>
      </c>
    </row>
    <row r="73" customFormat="false" ht="15" hidden="false" customHeight="false" outlineLevel="0" collapsed="false">
      <c r="A73" s="0" t="s">
        <v>268</v>
      </c>
      <c r="B73" s="0" t="s">
        <v>269</v>
      </c>
      <c r="C73" s="0" t="s">
        <v>71</v>
      </c>
      <c r="D73" s="0" t="s">
        <v>93</v>
      </c>
      <c r="E73" s="0" t="n">
        <v>40</v>
      </c>
      <c r="F73" s="30" t="n">
        <v>760</v>
      </c>
      <c r="G73" s="31" t="n">
        <v>45070</v>
      </c>
      <c r="H73" s="31" t="n">
        <v>45529</v>
      </c>
      <c r="I73" s="0" t="n">
        <v>459</v>
      </c>
      <c r="J73" s="32" t="s">
        <v>33</v>
      </c>
      <c r="K73" s="32" t="s">
        <v>43</v>
      </c>
      <c r="M73" s="30" t="n">
        <v>0</v>
      </c>
    </row>
    <row r="74" customFormat="false" ht="15" hidden="false" customHeight="false" outlineLevel="0" collapsed="false">
      <c r="A74" s="0" t="s">
        <v>270</v>
      </c>
      <c r="B74" s="0" t="s">
        <v>271</v>
      </c>
      <c r="C74" s="0" t="s">
        <v>73</v>
      </c>
      <c r="D74" s="0" t="s">
        <v>93</v>
      </c>
      <c r="E74" s="0" t="n">
        <v>2</v>
      </c>
      <c r="F74" s="30" t="n">
        <v>398</v>
      </c>
      <c r="G74" s="31" t="n">
        <v>45548</v>
      </c>
      <c r="H74" s="31" t="n">
        <v>45566</v>
      </c>
      <c r="I74" s="0" t="n">
        <v>18</v>
      </c>
      <c r="J74" s="32" t="s">
        <v>34</v>
      </c>
      <c r="K74" s="32" t="s">
        <v>64</v>
      </c>
      <c r="L74" s="32" t="s">
        <v>272</v>
      </c>
      <c r="M74" s="30" t="n">
        <v>3087</v>
      </c>
    </row>
    <row r="75" customFormat="false" ht="15" hidden="false" customHeight="false" outlineLevel="0" collapsed="false">
      <c r="A75" s="0" t="s">
        <v>273</v>
      </c>
      <c r="B75" s="0" t="s">
        <v>274</v>
      </c>
      <c r="C75" s="0" t="s">
        <v>73</v>
      </c>
      <c r="D75" s="0" t="s">
        <v>93</v>
      </c>
      <c r="E75" s="0" t="n">
        <v>48</v>
      </c>
      <c r="F75" s="30" t="n">
        <v>9552</v>
      </c>
      <c r="G75" s="31" t="n">
        <v>45510</v>
      </c>
      <c r="H75" s="31" t="n">
        <v>45652</v>
      </c>
      <c r="I75" s="0" t="n">
        <v>142</v>
      </c>
      <c r="J75" s="32" t="s">
        <v>34</v>
      </c>
      <c r="K75" s="32" t="s">
        <v>64</v>
      </c>
      <c r="L75" s="32" t="s">
        <v>275</v>
      </c>
      <c r="M75" s="30" t="n">
        <v>2352</v>
      </c>
    </row>
    <row r="76" customFormat="false" ht="15" hidden="false" customHeight="false" outlineLevel="0" collapsed="false">
      <c r="A76" s="0" t="s">
        <v>276</v>
      </c>
      <c r="B76" s="0" t="s">
        <v>277</v>
      </c>
      <c r="C76" s="0" t="s">
        <v>72</v>
      </c>
      <c r="D76" s="0" t="s">
        <v>93</v>
      </c>
      <c r="E76" s="0" t="n">
        <v>69</v>
      </c>
      <c r="F76" s="30" t="n">
        <v>3381</v>
      </c>
      <c r="G76" s="31" t="n">
        <v>45559</v>
      </c>
      <c r="H76" s="31" t="n">
        <v>45644</v>
      </c>
      <c r="I76" s="0" t="n">
        <v>85</v>
      </c>
      <c r="J76" s="32" t="s">
        <v>34</v>
      </c>
      <c r="K76" s="32" t="s">
        <v>64</v>
      </c>
      <c r="L76" s="32" t="s">
        <v>278</v>
      </c>
      <c r="M76" s="30" t="n">
        <v>3381</v>
      </c>
    </row>
    <row r="77" customFormat="false" ht="15" hidden="false" customHeight="false" outlineLevel="0" collapsed="false">
      <c r="A77" s="0" t="s">
        <v>279</v>
      </c>
      <c r="B77" s="0" t="s">
        <v>177</v>
      </c>
      <c r="C77" s="0" t="s">
        <v>72</v>
      </c>
      <c r="D77" s="0" t="s">
        <v>93</v>
      </c>
      <c r="E77" s="0" t="n">
        <v>28</v>
      </c>
      <c r="F77" s="30" t="n">
        <v>1372</v>
      </c>
      <c r="G77" s="31" t="n">
        <v>45260</v>
      </c>
      <c r="H77" s="31" t="n">
        <v>45519</v>
      </c>
      <c r="I77" s="0" t="n">
        <v>259</v>
      </c>
      <c r="J77" s="32" t="s">
        <v>33</v>
      </c>
      <c r="K77" s="32" t="s">
        <v>43</v>
      </c>
      <c r="M77" s="30" t="n">
        <v>0</v>
      </c>
    </row>
    <row r="78" customFormat="false" ht="15" hidden="false" customHeight="false" outlineLevel="0" collapsed="false">
      <c r="A78" s="0" t="s">
        <v>280</v>
      </c>
      <c r="B78" s="0" t="s">
        <v>281</v>
      </c>
      <c r="C78" s="0" t="s">
        <v>71</v>
      </c>
      <c r="D78" s="0" t="s">
        <v>98</v>
      </c>
      <c r="E78" s="0" t="n">
        <v>3</v>
      </c>
      <c r="F78" s="30" t="n">
        <v>0</v>
      </c>
      <c r="G78" s="31" t="n">
        <v>45627</v>
      </c>
      <c r="H78" s="31" t="n">
        <v>45657</v>
      </c>
      <c r="I78" s="0" t="n">
        <v>30</v>
      </c>
      <c r="J78" s="32" t="s">
        <v>34</v>
      </c>
      <c r="K78" s="32" t="s">
        <v>64</v>
      </c>
      <c r="L78" s="32" t="s">
        <v>282</v>
      </c>
      <c r="M78" s="30" t="n">
        <v>133</v>
      </c>
    </row>
    <row r="79" customFormat="false" ht="15" hidden="false" customHeight="false" outlineLevel="0" collapsed="false">
      <c r="A79" s="0" t="s">
        <v>283</v>
      </c>
      <c r="B79" s="0" t="s">
        <v>284</v>
      </c>
      <c r="C79" s="0" t="s">
        <v>73</v>
      </c>
      <c r="D79" s="0" t="s">
        <v>93</v>
      </c>
      <c r="E79" s="0" t="n">
        <v>19</v>
      </c>
      <c r="F79" s="30" t="n">
        <v>3781</v>
      </c>
      <c r="G79" s="31" t="n">
        <v>45167</v>
      </c>
      <c r="H79" s="31" t="n">
        <v>45344</v>
      </c>
      <c r="I79" s="0" t="n">
        <v>177</v>
      </c>
      <c r="J79" s="32" t="s">
        <v>31</v>
      </c>
      <c r="K79" s="32" t="s">
        <v>43</v>
      </c>
      <c r="M79" s="30" t="n">
        <v>0</v>
      </c>
    </row>
    <row r="80" customFormat="false" ht="15" hidden="false" customHeight="false" outlineLevel="0" collapsed="false">
      <c r="A80" s="0" t="s">
        <v>285</v>
      </c>
      <c r="B80" s="0" t="s">
        <v>286</v>
      </c>
      <c r="C80" s="0" t="s">
        <v>73</v>
      </c>
      <c r="D80" s="0" t="s">
        <v>93</v>
      </c>
      <c r="E80" s="0" t="n">
        <v>12</v>
      </c>
      <c r="F80" s="30" t="n">
        <v>2388</v>
      </c>
      <c r="G80" s="31" t="n">
        <v>45554</v>
      </c>
      <c r="H80" s="31" t="n">
        <v>45620</v>
      </c>
      <c r="I80" s="0" t="n">
        <v>66</v>
      </c>
      <c r="J80" s="32" t="s">
        <v>34</v>
      </c>
      <c r="K80" s="32" t="s">
        <v>64</v>
      </c>
      <c r="L80" s="32" t="s">
        <v>287</v>
      </c>
      <c r="M80" s="30" t="n">
        <v>0</v>
      </c>
    </row>
    <row r="81" customFormat="false" ht="15" hidden="false" customHeight="false" outlineLevel="0" collapsed="false">
      <c r="A81" s="0" t="s">
        <v>288</v>
      </c>
      <c r="B81" s="0" t="s">
        <v>289</v>
      </c>
      <c r="C81" s="0" t="s">
        <v>72</v>
      </c>
      <c r="D81" s="0" t="s">
        <v>93</v>
      </c>
      <c r="E81" s="0" t="n">
        <v>31</v>
      </c>
      <c r="F81" s="30" t="n">
        <v>1519</v>
      </c>
      <c r="G81" s="31" t="n">
        <v>45261</v>
      </c>
      <c r="H81" s="31" t="n">
        <v>45558</v>
      </c>
      <c r="I81" s="0" t="n">
        <v>297</v>
      </c>
      <c r="J81" s="32" t="s">
        <v>33</v>
      </c>
      <c r="K81" s="32" t="s">
        <v>43</v>
      </c>
      <c r="M81" s="30" t="n">
        <v>0</v>
      </c>
    </row>
    <row r="82" customFormat="false" ht="15" hidden="false" customHeight="false" outlineLevel="0" collapsed="false">
      <c r="A82" s="0" t="s">
        <v>290</v>
      </c>
      <c r="B82" s="0" t="s">
        <v>291</v>
      </c>
      <c r="C82" s="0" t="s">
        <v>72</v>
      </c>
      <c r="D82" s="0" t="s">
        <v>93</v>
      </c>
      <c r="E82" s="0" t="n">
        <v>28</v>
      </c>
      <c r="F82" s="30" t="n">
        <v>1372</v>
      </c>
      <c r="G82" s="31" t="n">
        <v>45639</v>
      </c>
      <c r="H82" s="31" t="n">
        <v>45647</v>
      </c>
      <c r="I82" s="0" t="n">
        <v>8</v>
      </c>
      <c r="J82" s="32" t="s">
        <v>34</v>
      </c>
      <c r="K82" s="32" t="s">
        <v>43</v>
      </c>
      <c r="M82" s="30" t="n">
        <v>0</v>
      </c>
    </row>
    <row r="83" customFormat="false" ht="15" hidden="false" customHeight="false" outlineLevel="0" collapsed="false">
      <c r="A83" s="0" t="s">
        <v>292</v>
      </c>
      <c r="B83" s="0" t="s">
        <v>293</v>
      </c>
      <c r="C83" s="0" t="s">
        <v>71</v>
      </c>
      <c r="D83" s="0" t="s">
        <v>98</v>
      </c>
      <c r="E83" s="0" t="n">
        <v>1</v>
      </c>
      <c r="F83" s="30" t="n">
        <v>0</v>
      </c>
      <c r="G83" s="31" t="n">
        <v>45302</v>
      </c>
      <c r="H83" s="31" t="n">
        <v>45384</v>
      </c>
      <c r="I83" s="0" t="n">
        <v>82</v>
      </c>
      <c r="J83" s="32" t="s">
        <v>32</v>
      </c>
      <c r="K83" s="32" t="s">
        <v>64</v>
      </c>
      <c r="L83" s="32" t="s">
        <v>294</v>
      </c>
      <c r="M83" s="30" t="n">
        <v>245</v>
      </c>
    </row>
    <row r="84" customFormat="false" ht="15" hidden="false" customHeight="false" outlineLevel="0" collapsed="false">
      <c r="A84" s="0" t="s">
        <v>295</v>
      </c>
      <c r="B84" s="0" t="s">
        <v>296</v>
      </c>
      <c r="C84" s="0" t="s">
        <v>73</v>
      </c>
      <c r="D84" s="0" t="s">
        <v>98</v>
      </c>
      <c r="E84" s="0" t="n">
        <v>15</v>
      </c>
      <c r="F84" s="30" t="n">
        <v>0</v>
      </c>
      <c r="G84" s="31" t="n">
        <v>45245</v>
      </c>
      <c r="H84" s="31" t="n">
        <v>45575</v>
      </c>
      <c r="I84" s="0" t="n">
        <v>330</v>
      </c>
      <c r="J84" s="32" t="s">
        <v>34</v>
      </c>
      <c r="K84" s="32" t="s">
        <v>43</v>
      </c>
      <c r="M84" s="30" t="n">
        <v>0</v>
      </c>
    </row>
    <row r="85" customFormat="false" ht="15" hidden="false" customHeight="false" outlineLevel="0" collapsed="false">
      <c r="A85" s="0" t="s">
        <v>297</v>
      </c>
      <c r="B85" s="0" t="s">
        <v>245</v>
      </c>
      <c r="C85" s="0" t="s">
        <v>71</v>
      </c>
      <c r="D85" s="0" t="s">
        <v>93</v>
      </c>
      <c r="E85" s="0" t="n">
        <v>17</v>
      </c>
      <c r="F85" s="30" t="n">
        <v>323</v>
      </c>
      <c r="G85" s="31" t="n">
        <v>45333</v>
      </c>
      <c r="H85" s="31" t="n">
        <v>45397</v>
      </c>
      <c r="I85" s="0" t="n">
        <v>64</v>
      </c>
      <c r="J85" s="32" t="s">
        <v>32</v>
      </c>
      <c r="K85" s="32" t="s">
        <v>43</v>
      </c>
      <c r="M85" s="30" t="n">
        <v>0</v>
      </c>
    </row>
    <row r="86" customFormat="false" ht="15" hidden="false" customHeight="false" outlineLevel="0" collapsed="false">
      <c r="A86" s="0" t="s">
        <v>298</v>
      </c>
      <c r="B86" s="0" t="s">
        <v>299</v>
      </c>
      <c r="C86" s="0" t="s">
        <v>72</v>
      </c>
      <c r="D86" s="0" t="s">
        <v>98</v>
      </c>
      <c r="E86" s="0" t="n">
        <v>6</v>
      </c>
      <c r="F86" s="30" t="n">
        <v>0</v>
      </c>
      <c r="G86" s="31" t="n">
        <v>45600</v>
      </c>
      <c r="H86" s="31" t="n">
        <v>45635</v>
      </c>
      <c r="I86" s="0" t="n">
        <v>35</v>
      </c>
      <c r="J86" s="32" t="s">
        <v>34</v>
      </c>
      <c r="K86" s="32" t="s">
        <v>43</v>
      </c>
      <c r="M86" s="30" t="n">
        <v>0</v>
      </c>
    </row>
    <row r="87" customFormat="false" ht="15" hidden="false" customHeight="false" outlineLevel="0" collapsed="false">
      <c r="A87" s="0" t="s">
        <v>300</v>
      </c>
      <c r="B87" s="0" t="s">
        <v>301</v>
      </c>
      <c r="C87" s="0" t="s">
        <v>72</v>
      </c>
      <c r="D87" s="0" t="s">
        <v>93</v>
      </c>
      <c r="E87" s="0" t="n">
        <v>35</v>
      </c>
      <c r="F87" s="30" t="n">
        <v>1715</v>
      </c>
      <c r="G87" s="31" t="n">
        <v>45647</v>
      </c>
      <c r="H87" s="31" t="n">
        <v>45656</v>
      </c>
      <c r="I87" s="0" t="n">
        <v>9</v>
      </c>
      <c r="J87" s="32" t="s">
        <v>34</v>
      </c>
      <c r="K87" s="32" t="s">
        <v>64</v>
      </c>
      <c r="L87" s="32" t="s">
        <v>302</v>
      </c>
      <c r="M87" s="30" t="n">
        <v>21691</v>
      </c>
    </row>
    <row r="88" customFormat="false" ht="15" hidden="false" customHeight="false" outlineLevel="0" collapsed="false">
      <c r="A88" s="0" t="s">
        <v>303</v>
      </c>
      <c r="B88" s="0" t="s">
        <v>304</v>
      </c>
      <c r="C88" s="0" t="s">
        <v>72</v>
      </c>
      <c r="D88" s="0" t="s">
        <v>93</v>
      </c>
      <c r="E88" s="0" t="n">
        <v>18</v>
      </c>
      <c r="F88" s="30" t="n">
        <v>882</v>
      </c>
      <c r="G88" s="31" t="n">
        <v>45609</v>
      </c>
      <c r="H88" s="31" t="n">
        <v>45626</v>
      </c>
      <c r="I88" s="0" t="n">
        <v>17</v>
      </c>
      <c r="J88" s="32" t="s">
        <v>34</v>
      </c>
      <c r="K88" s="32" t="s">
        <v>43</v>
      </c>
      <c r="M88" s="30" t="n">
        <v>0</v>
      </c>
    </row>
    <row r="89" customFormat="false" ht="15" hidden="false" customHeight="false" outlineLevel="0" collapsed="false">
      <c r="A89" s="0" t="s">
        <v>305</v>
      </c>
      <c r="B89" s="0" t="s">
        <v>306</v>
      </c>
      <c r="C89" s="0" t="s">
        <v>72</v>
      </c>
      <c r="D89" s="0" t="s">
        <v>93</v>
      </c>
      <c r="E89" s="0" t="n">
        <v>5</v>
      </c>
      <c r="F89" s="30" t="n">
        <v>245</v>
      </c>
      <c r="G89" s="31" t="n">
        <v>45649</v>
      </c>
      <c r="H89" s="31" t="n">
        <v>45655</v>
      </c>
      <c r="I89" s="0" t="n">
        <v>6</v>
      </c>
      <c r="J89" s="32" t="s">
        <v>34</v>
      </c>
      <c r="K89" s="32" t="s">
        <v>42</v>
      </c>
      <c r="M89" s="30" t="n">
        <v>0</v>
      </c>
    </row>
    <row r="90" customFormat="false" ht="15" hidden="false" customHeight="false" outlineLevel="0" collapsed="false">
      <c r="A90" s="0" t="s">
        <v>307</v>
      </c>
      <c r="B90" s="0" t="s">
        <v>308</v>
      </c>
      <c r="C90" s="0" t="s">
        <v>71</v>
      </c>
      <c r="D90" s="0" t="s">
        <v>93</v>
      </c>
      <c r="E90" s="0" t="n">
        <v>33</v>
      </c>
      <c r="F90" s="30" t="n">
        <v>627</v>
      </c>
      <c r="G90" s="31" t="n">
        <v>45652</v>
      </c>
      <c r="H90" s="31" t="n">
        <v>45655</v>
      </c>
      <c r="I90" s="0" t="n">
        <v>3</v>
      </c>
      <c r="J90" s="32" t="s">
        <v>34</v>
      </c>
      <c r="K90" s="32" t="s">
        <v>42</v>
      </c>
      <c r="M90" s="30" t="n">
        <v>0</v>
      </c>
    </row>
    <row r="91" customFormat="false" ht="15" hidden="false" customHeight="false" outlineLevel="0" collapsed="false">
      <c r="A91" s="0" t="s">
        <v>309</v>
      </c>
      <c r="B91" s="0" t="s">
        <v>310</v>
      </c>
      <c r="C91" s="0" t="s">
        <v>73</v>
      </c>
      <c r="D91" s="0" t="s">
        <v>93</v>
      </c>
      <c r="E91" s="0" t="n">
        <v>89</v>
      </c>
      <c r="F91" s="30" t="n">
        <v>17711</v>
      </c>
      <c r="G91" s="31" t="n">
        <v>45066</v>
      </c>
      <c r="H91" s="31" t="n">
        <v>45279</v>
      </c>
      <c r="I91" s="0" t="n">
        <v>213</v>
      </c>
      <c r="J91" s="32" t="s">
        <v>30</v>
      </c>
      <c r="K91" s="32" t="s">
        <v>43</v>
      </c>
      <c r="M91" s="30" t="n">
        <v>0</v>
      </c>
    </row>
    <row r="92" customFormat="false" ht="15" hidden="false" customHeight="false" outlineLevel="0" collapsed="false">
      <c r="A92" s="0" t="s">
        <v>311</v>
      </c>
      <c r="B92" s="0" t="s">
        <v>312</v>
      </c>
      <c r="C92" s="0" t="s">
        <v>71</v>
      </c>
      <c r="D92" s="0" t="s">
        <v>93</v>
      </c>
      <c r="E92" s="0" t="n">
        <v>73</v>
      </c>
      <c r="F92" s="30" t="n">
        <v>1387</v>
      </c>
      <c r="G92" s="31" t="n">
        <v>45192</v>
      </c>
      <c r="H92" s="31" t="n">
        <v>45598</v>
      </c>
      <c r="I92" s="0" t="n">
        <v>406</v>
      </c>
      <c r="J92" s="32" t="s">
        <v>34</v>
      </c>
      <c r="K92" s="32" t="s">
        <v>43</v>
      </c>
      <c r="M92" s="30" t="n">
        <v>0</v>
      </c>
    </row>
    <row r="93" customFormat="false" ht="15" hidden="false" customHeight="false" outlineLevel="0" collapsed="false">
      <c r="A93" s="0" t="s">
        <v>313</v>
      </c>
      <c r="B93" s="0" t="s">
        <v>314</v>
      </c>
      <c r="C93" s="0" t="s">
        <v>72</v>
      </c>
      <c r="D93" s="0" t="s">
        <v>93</v>
      </c>
      <c r="E93" s="0" t="n">
        <v>33</v>
      </c>
      <c r="F93" s="30" t="n">
        <v>1617</v>
      </c>
      <c r="G93" s="31" t="n">
        <v>45445</v>
      </c>
      <c r="H93" s="31" t="n">
        <v>45455</v>
      </c>
      <c r="I93" s="0" t="n">
        <v>10</v>
      </c>
      <c r="J93" s="32" t="s">
        <v>32</v>
      </c>
      <c r="K93" s="32" t="s">
        <v>64</v>
      </c>
      <c r="L93" s="32" t="s">
        <v>315</v>
      </c>
      <c r="M93" s="30" t="n">
        <v>627</v>
      </c>
    </row>
    <row r="94" customFormat="false" ht="15" hidden="false" customHeight="false" outlineLevel="0" collapsed="false">
      <c r="A94" s="0" t="s">
        <v>316</v>
      </c>
      <c r="B94" s="0" t="s">
        <v>317</v>
      </c>
      <c r="C94" s="0" t="s">
        <v>71</v>
      </c>
      <c r="D94" s="0" t="s">
        <v>98</v>
      </c>
      <c r="E94" s="0" t="n">
        <v>16</v>
      </c>
      <c r="F94" s="30" t="n">
        <v>0</v>
      </c>
      <c r="G94" s="31" t="n">
        <v>45457</v>
      </c>
      <c r="H94" s="31" t="n">
        <v>45615</v>
      </c>
      <c r="I94" s="0" t="n">
        <v>158</v>
      </c>
      <c r="J94" s="32" t="s">
        <v>34</v>
      </c>
      <c r="K94" s="32" t="s">
        <v>64</v>
      </c>
      <c r="L94" s="32" t="s">
        <v>318</v>
      </c>
      <c r="M94" s="30" t="n">
        <v>1406</v>
      </c>
    </row>
    <row r="95" customFormat="false" ht="15" hidden="false" customHeight="false" outlineLevel="0" collapsed="false">
      <c r="A95" s="0" t="s">
        <v>319</v>
      </c>
      <c r="B95" s="0" t="s">
        <v>320</v>
      </c>
      <c r="C95" s="0" t="s">
        <v>71</v>
      </c>
      <c r="D95" s="0" t="s">
        <v>93</v>
      </c>
      <c r="E95" s="0" t="n">
        <v>47</v>
      </c>
      <c r="F95" s="30" t="n">
        <v>893</v>
      </c>
      <c r="G95" s="31" t="n">
        <v>45367</v>
      </c>
      <c r="H95" s="31" t="n">
        <v>45403</v>
      </c>
      <c r="I95" s="0" t="n">
        <v>36</v>
      </c>
      <c r="J95" s="32" t="s">
        <v>32</v>
      </c>
      <c r="K95" s="32" t="s">
        <v>43</v>
      </c>
      <c r="M95" s="30" t="n">
        <v>0</v>
      </c>
    </row>
    <row r="96" customFormat="false" ht="15" hidden="false" customHeight="false" outlineLevel="0" collapsed="false">
      <c r="A96" s="0" t="s">
        <v>321</v>
      </c>
      <c r="B96" s="0" t="s">
        <v>322</v>
      </c>
      <c r="C96" s="0" t="s">
        <v>72</v>
      </c>
      <c r="D96" s="0" t="s">
        <v>93</v>
      </c>
      <c r="E96" s="0" t="n">
        <v>67</v>
      </c>
      <c r="F96" s="30" t="n">
        <v>3283</v>
      </c>
      <c r="G96" s="31" t="n">
        <v>45566</v>
      </c>
      <c r="H96" s="31" t="n">
        <v>45647</v>
      </c>
      <c r="I96" s="0" t="n">
        <v>81</v>
      </c>
      <c r="J96" s="32" t="s">
        <v>34</v>
      </c>
      <c r="K96" s="32" t="s">
        <v>64</v>
      </c>
      <c r="L96" s="32" t="s">
        <v>323</v>
      </c>
      <c r="M96" s="30" t="n">
        <v>1273</v>
      </c>
    </row>
    <row r="97" customFormat="false" ht="15" hidden="false" customHeight="false" outlineLevel="0" collapsed="false">
      <c r="A97" s="0" t="s">
        <v>324</v>
      </c>
      <c r="B97" s="0" t="s">
        <v>289</v>
      </c>
      <c r="C97" s="0" t="s">
        <v>73</v>
      </c>
      <c r="D97" s="0" t="s">
        <v>93</v>
      </c>
      <c r="E97" s="0" t="n">
        <v>23</v>
      </c>
      <c r="F97" s="30" t="n">
        <v>4577</v>
      </c>
      <c r="G97" s="31" t="n">
        <v>45388</v>
      </c>
      <c r="H97" s="31" t="n">
        <v>45606</v>
      </c>
      <c r="I97" s="0" t="n">
        <v>218</v>
      </c>
      <c r="J97" s="32" t="s">
        <v>34</v>
      </c>
      <c r="K97" s="32" t="s">
        <v>43</v>
      </c>
      <c r="M97" s="30" t="n">
        <v>0</v>
      </c>
    </row>
    <row r="98" customFormat="false" ht="15" hidden="false" customHeight="false" outlineLevel="0" collapsed="false">
      <c r="A98" s="0" t="s">
        <v>246</v>
      </c>
      <c r="B98" s="0" t="s">
        <v>245</v>
      </c>
      <c r="C98" s="0" t="s">
        <v>71</v>
      </c>
      <c r="D98" s="0" t="s">
        <v>93</v>
      </c>
      <c r="E98" s="0" t="n">
        <v>38</v>
      </c>
      <c r="F98" s="30" t="n">
        <v>722</v>
      </c>
      <c r="G98" s="31" t="n">
        <v>45644</v>
      </c>
      <c r="H98" s="31" t="n">
        <v>45652</v>
      </c>
      <c r="I98" s="0" t="n">
        <v>8</v>
      </c>
      <c r="J98" s="32" t="s">
        <v>34</v>
      </c>
      <c r="K98" s="32" t="s">
        <v>42</v>
      </c>
      <c r="M98" s="30" t="n">
        <v>0</v>
      </c>
    </row>
    <row r="99" customFormat="false" ht="15" hidden="false" customHeight="false" outlineLevel="0" collapsed="false">
      <c r="A99" s="0" t="s">
        <v>325</v>
      </c>
      <c r="B99" s="0" t="s">
        <v>326</v>
      </c>
      <c r="C99" s="0" t="s">
        <v>72</v>
      </c>
      <c r="D99" s="0" t="s">
        <v>93</v>
      </c>
      <c r="E99" s="0" t="n">
        <v>2</v>
      </c>
      <c r="F99" s="30" t="n">
        <v>98</v>
      </c>
      <c r="G99" s="31" t="n">
        <v>45198</v>
      </c>
      <c r="H99" s="31" t="n">
        <v>45385</v>
      </c>
      <c r="I99" s="0" t="n">
        <v>187</v>
      </c>
      <c r="J99" s="32" t="s">
        <v>32</v>
      </c>
      <c r="K99" s="32" t="s">
        <v>43</v>
      </c>
      <c r="M99" s="30" t="n">
        <v>0</v>
      </c>
    </row>
    <row r="100" customFormat="false" ht="15" hidden="false" customHeight="false" outlineLevel="0" collapsed="false">
      <c r="A100" s="0" t="s">
        <v>327</v>
      </c>
      <c r="B100" s="0" t="s">
        <v>328</v>
      </c>
      <c r="C100" s="0" t="s">
        <v>73</v>
      </c>
      <c r="D100" s="0" t="s">
        <v>98</v>
      </c>
      <c r="E100" s="0" t="n">
        <v>29</v>
      </c>
      <c r="F100" s="30" t="n">
        <v>0</v>
      </c>
      <c r="G100" s="31" t="n">
        <v>45629</v>
      </c>
      <c r="H100" s="31" t="n">
        <v>45635</v>
      </c>
      <c r="I100" s="0" t="n">
        <v>6</v>
      </c>
      <c r="J100" s="32" t="s">
        <v>34</v>
      </c>
      <c r="K100" s="32" t="s">
        <v>64</v>
      </c>
      <c r="L100" s="32" t="s">
        <v>329</v>
      </c>
      <c r="M100" s="30" t="n">
        <v>1225</v>
      </c>
    </row>
    <row r="101" customFormat="false" ht="15" hidden="false" customHeight="false" outlineLevel="0" collapsed="false">
      <c r="A101" s="0" t="s">
        <v>330</v>
      </c>
      <c r="B101" s="0" t="s">
        <v>331</v>
      </c>
      <c r="C101" s="0" t="s">
        <v>71</v>
      </c>
      <c r="D101" s="0" t="s">
        <v>93</v>
      </c>
      <c r="E101" s="0" t="n">
        <v>47</v>
      </c>
      <c r="F101" s="30" t="n">
        <v>893</v>
      </c>
      <c r="G101" s="31" t="n">
        <v>45637</v>
      </c>
      <c r="H101" s="31" t="n">
        <v>45646</v>
      </c>
      <c r="I101" s="0" t="n">
        <v>9</v>
      </c>
      <c r="J101" s="32" t="s">
        <v>34</v>
      </c>
      <c r="K101" s="32" t="s">
        <v>64</v>
      </c>
      <c r="L101" s="32" t="s">
        <v>332</v>
      </c>
      <c r="M101" s="30" t="n">
        <v>1274</v>
      </c>
    </row>
    <row r="102" customFormat="false" ht="15" hidden="false" customHeight="false" outlineLevel="0" collapsed="false">
      <c r="A102" s="0" t="s">
        <v>333</v>
      </c>
      <c r="B102" s="0" t="s">
        <v>334</v>
      </c>
      <c r="C102" s="0" t="s">
        <v>73</v>
      </c>
      <c r="D102" s="0" t="s">
        <v>93</v>
      </c>
      <c r="E102" s="0" t="n">
        <v>48</v>
      </c>
      <c r="F102" s="30" t="n">
        <v>9552</v>
      </c>
      <c r="G102" s="31" t="n">
        <v>45631</v>
      </c>
      <c r="H102" s="31" t="n">
        <v>45635</v>
      </c>
      <c r="I102" s="0" t="n">
        <v>4</v>
      </c>
      <c r="J102" s="32" t="s">
        <v>34</v>
      </c>
      <c r="K102" s="32" t="s">
        <v>64</v>
      </c>
      <c r="L102" s="32" t="s">
        <v>335</v>
      </c>
      <c r="M102" s="30" t="n">
        <v>2156</v>
      </c>
    </row>
    <row r="103" customFormat="false" ht="15" hidden="false" customHeight="false" outlineLevel="0" collapsed="false">
      <c r="A103" s="0" t="s">
        <v>336</v>
      </c>
      <c r="B103" s="0" t="s">
        <v>337</v>
      </c>
      <c r="C103" s="0" t="s">
        <v>72</v>
      </c>
      <c r="D103" s="0" t="s">
        <v>93</v>
      </c>
      <c r="E103" s="0" t="n">
        <v>19</v>
      </c>
      <c r="F103" s="30" t="n">
        <v>931</v>
      </c>
      <c r="G103" s="31" t="n">
        <v>45442</v>
      </c>
      <c r="H103" s="31" t="n">
        <v>45640</v>
      </c>
      <c r="I103" s="0" t="n">
        <v>198</v>
      </c>
      <c r="J103" s="32" t="s">
        <v>34</v>
      </c>
      <c r="K103" s="32" t="s">
        <v>43</v>
      </c>
      <c r="M103" s="30" t="n">
        <v>0</v>
      </c>
    </row>
    <row r="104" customFormat="false" ht="15" hidden="false" customHeight="false" outlineLevel="0" collapsed="false">
      <c r="A104" s="0" t="s">
        <v>338</v>
      </c>
      <c r="B104" s="0" t="s">
        <v>339</v>
      </c>
      <c r="C104" s="0" t="s">
        <v>71</v>
      </c>
      <c r="D104" s="0" t="s">
        <v>93</v>
      </c>
      <c r="E104" s="0" t="n">
        <v>22</v>
      </c>
      <c r="F104" s="30" t="n">
        <v>418</v>
      </c>
      <c r="G104" s="31" t="n">
        <v>45586</v>
      </c>
      <c r="H104" s="31" t="n">
        <v>45650</v>
      </c>
      <c r="I104" s="0" t="n">
        <v>64</v>
      </c>
      <c r="J104" s="32" t="s">
        <v>34</v>
      </c>
      <c r="K104" s="32" t="s">
        <v>64</v>
      </c>
      <c r="L104" s="32" t="s">
        <v>340</v>
      </c>
      <c r="M104" s="30" t="n">
        <v>1078</v>
      </c>
    </row>
    <row r="105" customFormat="false" ht="15" hidden="false" customHeight="false" outlineLevel="0" collapsed="false">
      <c r="A105" s="0" t="s">
        <v>341</v>
      </c>
      <c r="B105" s="0" t="s">
        <v>342</v>
      </c>
      <c r="C105" s="0" t="s">
        <v>73</v>
      </c>
      <c r="D105" s="0" t="s">
        <v>98</v>
      </c>
      <c r="E105" s="0" t="n">
        <v>19</v>
      </c>
      <c r="F105" s="30" t="n">
        <v>0</v>
      </c>
      <c r="G105" s="31" t="n">
        <v>45041</v>
      </c>
      <c r="H105" s="31" t="n">
        <v>45304</v>
      </c>
      <c r="I105" s="0" t="n">
        <v>263</v>
      </c>
      <c r="J105" s="32" t="s">
        <v>31</v>
      </c>
      <c r="K105" s="32" t="s">
        <v>43</v>
      </c>
      <c r="M105" s="30" t="n">
        <v>0</v>
      </c>
    </row>
    <row r="106" customFormat="false" ht="15" hidden="false" customHeight="false" outlineLevel="0" collapsed="false">
      <c r="A106" s="0" t="s">
        <v>343</v>
      </c>
      <c r="B106" s="0" t="s">
        <v>344</v>
      </c>
      <c r="C106" s="0" t="s">
        <v>71</v>
      </c>
      <c r="D106" s="0" t="s">
        <v>93</v>
      </c>
      <c r="E106" s="0" t="n">
        <v>18</v>
      </c>
      <c r="F106" s="30" t="n">
        <v>342</v>
      </c>
      <c r="G106" s="31" t="n">
        <v>45593</v>
      </c>
      <c r="H106" s="31" t="n">
        <v>45642</v>
      </c>
      <c r="I106" s="0" t="n">
        <v>49</v>
      </c>
      <c r="J106" s="32" t="s">
        <v>34</v>
      </c>
      <c r="K106" s="32" t="s">
        <v>64</v>
      </c>
      <c r="L106" s="32" t="s">
        <v>345</v>
      </c>
      <c r="M106" s="30" t="n">
        <v>882</v>
      </c>
    </row>
    <row r="107" customFormat="false" ht="15" hidden="false" customHeight="false" outlineLevel="0" collapsed="false">
      <c r="A107" s="0" t="s">
        <v>346</v>
      </c>
      <c r="B107" s="0" t="s">
        <v>347</v>
      </c>
      <c r="C107" s="0" t="s">
        <v>71</v>
      </c>
      <c r="D107" s="0" t="s">
        <v>93</v>
      </c>
      <c r="E107" s="0" t="n">
        <v>34</v>
      </c>
      <c r="F107" s="30" t="n">
        <v>646</v>
      </c>
      <c r="G107" s="31" t="n">
        <v>45612</v>
      </c>
      <c r="H107" s="31" t="n">
        <v>45616</v>
      </c>
      <c r="I107" s="0" t="n">
        <v>4</v>
      </c>
      <c r="J107" s="32" t="s">
        <v>34</v>
      </c>
      <c r="K107" s="32" t="s">
        <v>64</v>
      </c>
      <c r="L107" s="32" t="s">
        <v>348</v>
      </c>
      <c r="M107" s="30" t="n">
        <v>646</v>
      </c>
    </row>
    <row r="108" customFormat="false" ht="15" hidden="false" customHeight="false" outlineLevel="0" collapsed="false">
      <c r="A108" s="0" t="s">
        <v>349</v>
      </c>
      <c r="B108" s="0" t="s">
        <v>350</v>
      </c>
      <c r="C108" s="0" t="s">
        <v>73</v>
      </c>
      <c r="D108" s="0" t="s">
        <v>93</v>
      </c>
      <c r="E108" s="0" t="n">
        <v>14</v>
      </c>
      <c r="F108" s="30" t="n">
        <v>2786</v>
      </c>
      <c r="G108" s="31" t="n">
        <v>45637</v>
      </c>
      <c r="H108" s="31" t="n">
        <v>45638</v>
      </c>
      <c r="I108" s="0" t="n">
        <v>1</v>
      </c>
      <c r="J108" s="32" t="s">
        <v>34</v>
      </c>
      <c r="K108" s="32" t="s">
        <v>64</v>
      </c>
      <c r="L108" s="32" t="s">
        <v>351</v>
      </c>
      <c r="M108" s="30" t="n">
        <v>2786</v>
      </c>
    </row>
    <row r="109" customFormat="false" ht="15" hidden="false" customHeight="false" outlineLevel="0" collapsed="false">
      <c r="A109" s="0" t="s">
        <v>352</v>
      </c>
      <c r="B109" s="0" t="s">
        <v>159</v>
      </c>
      <c r="C109" s="0" t="s">
        <v>72</v>
      </c>
      <c r="D109" s="0" t="s">
        <v>93</v>
      </c>
      <c r="E109" s="0" t="n">
        <v>7</v>
      </c>
      <c r="F109" s="30" t="n">
        <v>343</v>
      </c>
      <c r="G109" s="31" t="n">
        <v>45397</v>
      </c>
      <c r="H109" s="31" t="n">
        <v>45482</v>
      </c>
      <c r="I109" s="0" t="n">
        <v>85</v>
      </c>
      <c r="J109" s="32" t="s">
        <v>33</v>
      </c>
      <c r="K109" s="32" t="s">
        <v>43</v>
      </c>
      <c r="M109" s="30" t="n">
        <v>0</v>
      </c>
    </row>
    <row r="110" customFormat="false" ht="15" hidden="false" customHeight="false" outlineLevel="0" collapsed="false">
      <c r="A110" s="0" t="s">
        <v>353</v>
      </c>
      <c r="B110" s="0" t="s">
        <v>354</v>
      </c>
      <c r="C110" s="0" t="s">
        <v>71</v>
      </c>
      <c r="D110" s="0" t="s">
        <v>93</v>
      </c>
      <c r="E110" s="0" t="n">
        <v>38</v>
      </c>
      <c r="F110" s="30" t="n">
        <v>722</v>
      </c>
      <c r="G110" s="31" t="n">
        <v>45621</v>
      </c>
      <c r="H110" s="31" t="n">
        <v>45624</v>
      </c>
      <c r="I110" s="0" t="n">
        <v>3</v>
      </c>
      <c r="J110" s="32" t="s">
        <v>34</v>
      </c>
      <c r="K110" s="32" t="s">
        <v>64</v>
      </c>
      <c r="L110" s="32" t="s">
        <v>355</v>
      </c>
      <c r="M110" s="30" t="n">
        <v>722</v>
      </c>
    </row>
    <row r="111" customFormat="false" ht="15" hidden="false" customHeight="false" outlineLevel="0" collapsed="false">
      <c r="A111" s="0" t="s">
        <v>356</v>
      </c>
      <c r="B111" s="0" t="s">
        <v>357</v>
      </c>
      <c r="C111" s="0" t="s">
        <v>71</v>
      </c>
      <c r="D111" s="0" t="s">
        <v>93</v>
      </c>
      <c r="E111" s="0" t="n">
        <v>10</v>
      </c>
      <c r="F111" s="30" t="n">
        <v>190</v>
      </c>
      <c r="G111" s="31" t="n">
        <v>45416</v>
      </c>
      <c r="H111" s="31" t="n">
        <v>45575</v>
      </c>
      <c r="I111" s="0" t="n">
        <v>159</v>
      </c>
      <c r="J111" s="32" t="s">
        <v>34</v>
      </c>
      <c r="K111" s="32" t="s">
        <v>64</v>
      </c>
      <c r="L111" s="32" t="s">
        <v>358</v>
      </c>
      <c r="M111" s="30" t="n">
        <v>1421</v>
      </c>
    </row>
    <row r="112" customFormat="false" ht="15" hidden="false" customHeight="false" outlineLevel="0" collapsed="false">
      <c r="A112" s="0" t="s">
        <v>359</v>
      </c>
      <c r="B112" s="0" t="s">
        <v>360</v>
      </c>
      <c r="C112" s="0" t="s">
        <v>73</v>
      </c>
      <c r="D112" s="0" t="s">
        <v>98</v>
      </c>
      <c r="E112" s="0" t="n">
        <v>39</v>
      </c>
      <c r="F112" s="30" t="n">
        <v>0</v>
      </c>
      <c r="G112" s="31" t="n">
        <v>45416</v>
      </c>
      <c r="H112" s="31" t="n">
        <v>45564</v>
      </c>
      <c r="I112" s="0" t="n">
        <v>148</v>
      </c>
      <c r="J112" s="32" t="s">
        <v>33</v>
      </c>
      <c r="K112" s="32" t="s">
        <v>43</v>
      </c>
      <c r="M112" s="30" t="n">
        <v>0</v>
      </c>
    </row>
    <row r="113" customFormat="false" ht="15" hidden="false" customHeight="false" outlineLevel="0" collapsed="false">
      <c r="A113" s="0" t="s">
        <v>361</v>
      </c>
      <c r="B113" s="0" t="s">
        <v>362</v>
      </c>
      <c r="C113" s="0" t="s">
        <v>73</v>
      </c>
      <c r="D113" s="0" t="s">
        <v>93</v>
      </c>
      <c r="E113" s="0" t="n">
        <v>19</v>
      </c>
      <c r="F113" s="30" t="n">
        <v>3781</v>
      </c>
      <c r="G113" s="31" t="n">
        <v>45390</v>
      </c>
      <c r="H113" s="31" t="n">
        <v>45509</v>
      </c>
      <c r="I113" s="0" t="n">
        <v>119</v>
      </c>
      <c r="J113" s="32" t="s">
        <v>33</v>
      </c>
      <c r="K113" s="32" t="s">
        <v>64</v>
      </c>
      <c r="L113" s="32" t="s">
        <v>363</v>
      </c>
      <c r="M113" s="30" t="n">
        <v>8955</v>
      </c>
    </row>
    <row r="114" customFormat="false" ht="15" hidden="false" customHeight="false" outlineLevel="0" collapsed="false">
      <c r="A114" s="0" t="s">
        <v>364</v>
      </c>
      <c r="B114" s="0" t="s">
        <v>365</v>
      </c>
      <c r="C114" s="0" t="s">
        <v>72</v>
      </c>
      <c r="D114" s="0" t="s">
        <v>98</v>
      </c>
      <c r="E114" s="0" t="n">
        <v>3</v>
      </c>
      <c r="F114" s="30" t="n">
        <v>0</v>
      </c>
      <c r="G114" s="31" t="n">
        <v>45627</v>
      </c>
      <c r="H114" s="31" t="n">
        <v>45641</v>
      </c>
      <c r="I114" s="0" t="n">
        <v>14</v>
      </c>
      <c r="J114" s="32" t="s">
        <v>34</v>
      </c>
      <c r="K114" s="32" t="s">
        <v>64</v>
      </c>
      <c r="L114" s="32" t="s">
        <v>366</v>
      </c>
      <c r="M114" s="30" t="n">
        <v>152</v>
      </c>
    </row>
    <row r="115" customFormat="false" ht="15" hidden="false" customHeight="false" outlineLevel="0" collapsed="false">
      <c r="A115" s="0" t="s">
        <v>367</v>
      </c>
      <c r="B115" s="0" t="s">
        <v>368</v>
      </c>
      <c r="C115" s="0" t="s">
        <v>71</v>
      </c>
      <c r="D115" s="0" t="s">
        <v>93</v>
      </c>
      <c r="E115" s="0" t="n">
        <v>2</v>
      </c>
      <c r="F115" s="30" t="n">
        <v>38</v>
      </c>
      <c r="G115" s="31" t="n">
        <v>45248</v>
      </c>
      <c r="H115" s="31" t="n">
        <v>45466</v>
      </c>
      <c r="I115" s="0" t="n">
        <v>218</v>
      </c>
      <c r="J115" s="32" t="s">
        <v>32</v>
      </c>
      <c r="K115" s="32" t="s">
        <v>43</v>
      </c>
      <c r="M115" s="30" t="n">
        <v>0</v>
      </c>
    </row>
    <row r="116" customFormat="false" ht="15" hidden="false" customHeight="false" outlineLevel="0" collapsed="false">
      <c r="A116" s="0" t="s">
        <v>369</v>
      </c>
      <c r="B116" s="0" t="s">
        <v>370</v>
      </c>
      <c r="C116" s="0" t="s">
        <v>73</v>
      </c>
      <c r="D116" s="0" t="s">
        <v>98</v>
      </c>
      <c r="E116" s="0" t="n">
        <v>23</v>
      </c>
      <c r="F116" s="30" t="n">
        <v>0</v>
      </c>
      <c r="G116" s="31" t="n">
        <v>45455</v>
      </c>
      <c r="H116" s="31" t="n">
        <v>45649</v>
      </c>
      <c r="I116" s="0" t="n">
        <v>194</v>
      </c>
      <c r="J116" s="32" t="s">
        <v>34</v>
      </c>
      <c r="K116" s="32" t="s">
        <v>43</v>
      </c>
      <c r="M116" s="30" t="n">
        <v>0</v>
      </c>
    </row>
    <row r="117" customFormat="false" ht="15" hidden="false" customHeight="false" outlineLevel="0" collapsed="false">
      <c r="A117" s="0" t="s">
        <v>371</v>
      </c>
      <c r="B117" s="0" t="s">
        <v>121</v>
      </c>
      <c r="C117" s="0" t="s">
        <v>71</v>
      </c>
      <c r="D117" s="0" t="s">
        <v>93</v>
      </c>
      <c r="E117" s="0" t="n">
        <v>53</v>
      </c>
      <c r="F117" s="30" t="n">
        <v>1007</v>
      </c>
      <c r="G117" s="31" t="n">
        <v>45561</v>
      </c>
      <c r="H117" s="31" t="n">
        <v>45639</v>
      </c>
      <c r="I117" s="0" t="n">
        <v>78</v>
      </c>
      <c r="J117" s="32" t="s">
        <v>34</v>
      </c>
      <c r="K117" s="32" t="s">
        <v>64</v>
      </c>
      <c r="L117" s="32" t="s">
        <v>372</v>
      </c>
      <c r="M117" s="30" t="n">
        <v>0</v>
      </c>
    </row>
    <row r="118" customFormat="false" ht="15" hidden="false" customHeight="false" outlineLevel="0" collapsed="false">
      <c r="A118" s="0" t="s">
        <v>373</v>
      </c>
      <c r="B118" s="0" t="s">
        <v>374</v>
      </c>
      <c r="C118" s="0" t="s">
        <v>72</v>
      </c>
      <c r="D118" s="0" t="s">
        <v>93</v>
      </c>
      <c r="E118" s="0" t="n">
        <v>77</v>
      </c>
      <c r="F118" s="30" t="n">
        <v>3773</v>
      </c>
      <c r="G118" s="31" t="n">
        <v>45635</v>
      </c>
      <c r="H118" s="31" t="n">
        <v>45647</v>
      </c>
      <c r="I118" s="0" t="n">
        <v>12</v>
      </c>
      <c r="J118" s="32" t="s">
        <v>34</v>
      </c>
      <c r="K118" s="32" t="s">
        <v>64</v>
      </c>
      <c r="L118" s="32" t="s">
        <v>375</v>
      </c>
      <c r="M118" s="30" t="n">
        <v>0</v>
      </c>
    </row>
    <row r="119" customFormat="false" ht="15" hidden="false" customHeight="false" outlineLevel="0" collapsed="false">
      <c r="A119" s="0" t="s">
        <v>376</v>
      </c>
      <c r="B119" s="0" t="s">
        <v>377</v>
      </c>
      <c r="C119" s="0" t="s">
        <v>73</v>
      </c>
      <c r="D119" s="0" t="s">
        <v>93</v>
      </c>
      <c r="E119" s="0" t="n">
        <v>15</v>
      </c>
      <c r="F119" s="30" t="n">
        <v>2985</v>
      </c>
      <c r="G119" s="31" t="n">
        <v>45536</v>
      </c>
      <c r="H119" s="31" t="n">
        <v>45586</v>
      </c>
      <c r="I119" s="0" t="n">
        <v>50</v>
      </c>
      <c r="J119" s="32" t="s">
        <v>34</v>
      </c>
      <c r="K119" s="32" t="s">
        <v>43</v>
      </c>
      <c r="M119" s="30" t="n">
        <v>0</v>
      </c>
    </row>
    <row r="120" customFormat="false" ht="15" hidden="false" customHeight="false" outlineLevel="0" collapsed="false">
      <c r="A120" s="0" t="s">
        <v>378</v>
      </c>
      <c r="B120" s="0" t="s">
        <v>379</v>
      </c>
      <c r="C120" s="0" t="s">
        <v>73</v>
      </c>
      <c r="D120" s="0" t="s">
        <v>98</v>
      </c>
      <c r="E120" s="0" t="n">
        <v>24</v>
      </c>
      <c r="F120" s="30" t="n">
        <v>0</v>
      </c>
      <c r="G120" s="31" t="n">
        <v>45640</v>
      </c>
      <c r="H120" s="31" t="n">
        <v>45651</v>
      </c>
      <c r="I120" s="0" t="n">
        <v>11</v>
      </c>
      <c r="J120" s="32" t="s">
        <v>34</v>
      </c>
      <c r="K120" s="32" t="s">
        <v>64</v>
      </c>
      <c r="L120" s="32" t="s">
        <v>380</v>
      </c>
      <c r="M120" s="30" t="n">
        <v>4776</v>
      </c>
    </row>
    <row r="121" customFormat="false" ht="15" hidden="false" customHeight="false" outlineLevel="0" collapsed="false">
      <c r="A121" s="0" t="s">
        <v>381</v>
      </c>
      <c r="B121" s="0" t="s">
        <v>382</v>
      </c>
      <c r="C121" s="0" t="s">
        <v>72</v>
      </c>
      <c r="D121" s="0" t="s">
        <v>93</v>
      </c>
      <c r="E121" s="0" t="n">
        <v>41</v>
      </c>
      <c r="F121" s="30" t="n">
        <v>2009</v>
      </c>
      <c r="G121" s="31" t="n">
        <v>45406</v>
      </c>
      <c r="H121" s="31" t="n">
        <v>45542</v>
      </c>
      <c r="I121" s="0" t="n">
        <v>136</v>
      </c>
      <c r="J121" s="32" t="s">
        <v>33</v>
      </c>
      <c r="K121" s="32" t="s">
        <v>43</v>
      </c>
      <c r="M121" s="30" t="n">
        <v>0</v>
      </c>
    </row>
    <row r="122" customFormat="false" ht="15" hidden="false" customHeight="false" outlineLevel="0" collapsed="false">
      <c r="A122" s="0" t="s">
        <v>383</v>
      </c>
      <c r="B122" s="0" t="s">
        <v>200</v>
      </c>
      <c r="C122" s="0" t="s">
        <v>72</v>
      </c>
      <c r="D122" s="0" t="s">
        <v>93</v>
      </c>
      <c r="E122" s="0" t="n">
        <v>31</v>
      </c>
      <c r="F122" s="30" t="n">
        <v>1519</v>
      </c>
      <c r="G122" s="31" t="n">
        <v>45581</v>
      </c>
      <c r="H122" s="31" t="n">
        <v>45634</v>
      </c>
      <c r="I122" s="0" t="n">
        <v>53</v>
      </c>
      <c r="J122" s="32" t="s">
        <v>34</v>
      </c>
      <c r="K122" s="32" t="s">
        <v>43</v>
      </c>
      <c r="M122" s="30" t="n">
        <v>0</v>
      </c>
    </row>
    <row r="123" customFormat="false" ht="15" hidden="false" customHeight="false" outlineLevel="0" collapsed="false">
      <c r="A123" s="0" t="s">
        <v>384</v>
      </c>
      <c r="B123" s="0" t="s">
        <v>385</v>
      </c>
      <c r="C123" s="0" t="s">
        <v>72</v>
      </c>
      <c r="D123" s="0" t="s">
        <v>93</v>
      </c>
      <c r="E123" s="0" t="n">
        <v>50</v>
      </c>
      <c r="F123" s="30" t="n">
        <v>2450</v>
      </c>
      <c r="G123" s="31" t="n">
        <v>45588</v>
      </c>
      <c r="H123" s="31" t="n">
        <v>45595</v>
      </c>
      <c r="I123" s="0" t="n">
        <v>7</v>
      </c>
      <c r="J123" s="32" t="s">
        <v>34</v>
      </c>
      <c r="K123" s="32" t="s">
        <v>42</v>
      </c>
      <c r="M123" s="30" t="n">
        <v>0</v>
      </c>
    </row>
    <row r="124" customFormat="false" ht="15" hidden="false" customHeight="false" outlineLevel="0" collapsed="false">
      <c r="A124" s="0" t="s">
        <v>386</v>
      </c>
      <c r="B124" s="0" t="s">
        <v>387</v>
      </c>
      <c r="C124" s="0" t="s">
        <v>71</v>
      </c>
      <c r="D124" s="0" t="s">
        <v>98</v>
      </c>
      <c r="E124" s="0" t="n">
        <v>26</v>
      </c>
      <c r="F124" s="30" t="n">
        <v>0</v>
      </c>
      <c r="G124" s="31" t="n">
        <v>45209</v>
      </c>
      <c r="H124" s="31" t="n">
        <v>45588</v>
      </c>
      <c r="I124" s="0" t="n">
        <v>379</v>
      </c>
      <c r="J124" s="32" t="s">
        <v>34</v>
      </c>
      <c r="K124" s="32" t="s">
        <v>43</v>
      </c>
      <c r="M124" s="30" t="n">
        <v>0</v>
      </c>
    </row>
    <row r="125" customFormat="false" ht="15" hidden="false" customHeight="false" outlineLevel="0" collapsed="false">
      <c r="A125" s="0" t="s">
        <v>388</v>
      </c>
      <c r="B125" s="0" t="s">
        <v>389</v>
      </c>
      <c r="C125" s="0" t="s">
        <v>73</v>
      </c>
      <c r="D125" s="0" t="s">
        <v>93</v>
      </c>
      <c r="E125" s="0" t="n">
        <v>12</v>
      </c>
      <c r="F125" s="30" t="n">
        <v>2388</v>
      </c>
      <c r="G125" s="31" t="n">
        <v>45250</v>
      </c>
      <c r="H125" s="31" t="n">
        <v>45266</v>
      </c>
      <c r="I125" s="0" t="n">
        <v>16</v>
      </c>
      <c r="J125" s="32" t="s">
        <v>30</v>
      </c>
      <c r="K125" s="32" t="s">
        <v>64</v>
      </c>
      <c r="L125" s="32" t="s">
        <v>390</v>
      </c>
      <c r="M125" s="30" t="n">
        <v>247</v>
      </c>
    </row>
    <row r="126" customFormat="false" ht="15" hidden="false" customHeight="false" outlineLevel="0" collapsed="false">
      <c r="A126" s="0" t="s">
        <v>391</v>
      </c>
      <c r="B126" s="0" t="s">
        <v>392</v>
      </c>
      <c r="C126" s="0" t="s">
        <v>72</v>
      </c>
      <c r="D126" s="0" t="s">
        <v>93</v>
      </c>
      <c r="E126" s="0" t="n">
        <v>7</v>
      </c>
      <c r="F126" s="30" t="n">
        <v>343</v>
      </c>
      <c r="G126" s="31" t="n">
        <v>45637</v>
      </c>
      <c r="H126" s="31" t="n">
        <v>45649</v>
      </c>
      <c r="I126" s="0" t="n">
        <v>12</v>
      </c>
      <c r="J126" s="32" t="s">
        <v>34</v>
      </c>
      <c r="K126" s="32" t="s">
        <v>42</v>
      </c>
      <c r="M126" s="30" t="n">
        <v>0</v>
      </c>
    </row>
    <row r="127" customFormat="false" ht="15" hidden="false" customHeight="false" outlineLevel="0" collapsed="false">
      <c r="A127" s="0" t="s">
        <v>393</v>
      </c>
      <c r="B127" s="0" t="s">
        <v>379</v>
      </c>
      <c r="C127" s="0" t="s">
        <v>73</v>
      </c>
      <c r="D127" s="0" t="s">
        <v>93</v>
      </c>
      <c r="E127" s="0" t="n">
        <v>24</v>
      </c>
      <c r="F127" s="30" t="n">
        <v>4776</v>
      </c>
      <c r="G127" s="31" t="n">
        <v>45612</v>
      </c>
      <c r="H127" s="31" t="n">
        <v>45618</v>
      </c>
      <c r="I127" s="0" t="n">
        <v>6</v>
      </c>
      <c r="J127" s="32" t="s">
        <v>34</v>
      </c>
      <c r="K127" s="32" t="s">
        <v>64</v>
      </c>
      <c r="L127" s="32" t="s">
        <v>394</v>
      </c>
      <c r="M127" s="30" t="n">
        <v>4776</v>
      </c>
    </row>
    <row r="128" customFormat="false" ht="15" hidden="false" customHeight="false" outlineLevel="0" collapsed="false">
      <c r="A128" s="0" t="s">
        <v>395</v>
      </c>
      <c r="B128" s="0" t="s">
        <v>396</v>
      </c>
      <c r="C128" s="0" t="s">
        <v>72</v>
      </c>
      <c r="D128" s="0" t="s">
        <v>93</v>
      </c>
      <c r="E128" s="0" t="n">
        <v>21</v>
      </c>
      <c r="F128" s="30" t="n">
        <v>1029</v>
      </c>
      <c r="G128" s="31" t="n">
        <v>45508</v>
      </c>
      <c r="H128" s="31" t="n">
        <v>45527</v>
      </c>
      <c r="I128" s="0" t="n">
        <v>19</v>
      </c>
      <c r="J128" s="32" t="s">
        <v>33</v>
      </c>
      <c r="K128" s="32" t="s">
        <v>42</v>
      </c>
      <c r="M128" s="30" t="n">
        <v>0</v>
      </c>
    </row>
    <row r="129" customFormat="false" ht="15" hidden="false" customHeight="false" outlineLevel="0" collapsed="false">
      <c r="A129" s="0" t="s">
        <v>397</v>
      </c>
      <c r="B129" s="0" t="s">
        <v>398</v>
      </c>
      <c r="C129" s="0" t="s">
        <v>72</v>
      </c>
      <c r="D129" s="0" t="s">
        <v>93</v>
      </c>
      <c r="E129" s="0" t="n">
        <v>25</v>
      </c>
      <c r="F129" s="30" t="n">
        <v>1225</v>
      </c>
      <c r="G129" s="31" t="n">
        <v>45613</v>
      </c>
      <c r="H129" s="31" t="n">
        <v>45657</v>
      </c>
      <c r="I129" s="0" t="n">
        <v>44</v>
      </c>
      <c r="J129" s="32" t="s">
        <v>34</v>
      </c>
      <c r="K129" s="32" t="s">
        <v>64</v>
      </c>
      <c r="L129" s="32" t="s">
        <v>399</v>
      </c>
      <c r="M129" s="30" t="n">
        <v>950</v>
      </c>
    </row>
    <row r="130" customFormat="false" ht="15" hidden="false" customHeight="false" outlineLevel="0" collapsed="false">
      <c r="A130" s="0" t="s">
        <v>400</v>
      </c>
      <c r="B130" s="0" t="s">
        <v>401</v>
      </c>
      <c r="C130" s="0" t="s">
        <v>72</v>
      </c>
      <c r="D130" s="0" t="s">
        <v>98</v>
      </c>
      <c r="E130" s="0" t="n">
        <v>63</v>
      </c>
      <c r="F130" s="30" t="n">
        <v>0</v>
      </c>
      <c r="G130" s="31" t="n">
        <v>45646</v>
      </c>
      <c r="H130" s="31" t="n">
        <v>45656</v>
      </c>
      <c r="I130" s="0" t="n">
        <v>10</v>
      </c>
      <c r="J130" s="32" t="s">
        <v>34</v>
      </c>
      <c r="K130" s="32" t="s">
        <v>42</v>
      </c>
      <c r="M130" s="30" t="n">
        <v>0</v>
      </c>
    </row>
    <row r="131" customFormat="false" ht="15" hidden="false" customHeight="false" outlineLevel="0" collapsed="false">
      <c r="A131" s="0" t="s">
        <v>402</v>
      </c>
      <c r="B131" s="0" t="s">
        <v>403</v>
      </c>
      <c r="C131" s="0" t="s">
        <v>71</v>
      </c>
      <c r="D131" s="0" t="s">
        <v>93</v>
      </c>
      <c r="E131" s="0" t="n">
        <v>33</v>
      </c>
      <c r="F131" s="30" t="n">
        <v>627</v>
      </c>
      <c r="G131" s="31" t="n">
        <v>45563</v>
      </c>
      <c r="H131" s="31" t="n">
        <v>45612</v>
      </c>
      <c r="I131" s="0" t="n">
        <v>49</v>
      </c>
      <c r="J131" s="32" t="s">
        <v>34</v>
      </c>
      <c r="K131" s="32" t="s">
        <v>43</v>
      </c>
      <c r="M131" s="30" t="n">
        <v>0</v>
      </c>
    </row>
    <row r="132" customFormat="false" ht="15" hidden="false" customHeight="false" outlineLevel="0" collapsed="false">
      <c r="A132" s="0" t="s">
        <v>404</v>
      </c>
      <c r="B132" s="0" t="s">
        <v>405</v>
      </c>
      <c r="C132" s="0" t="s">
        <v>71</v>
      </c>
      <c r="D132" s="0" t="s">
        <v>93</v>
      </c>
      <c r="E132" s="0" t="n">
        <v>27</v>
      </c>
      <c r="F132" s="30" t="n">
        <v>513</v>
      </c>
      <c r="G132" s="31" t="n">
        <v>45590</v>
      </c>
      <c r="H132" s="31" t="n">
        <v>45621</v>
      </c>
      <c r="I132" s="0" t="n">
        <v>31</v>
      </c>
      <c r="J132" s="32" t="s">
        <v>34</v>
      </c>
      <c r="K132" s="32" t="s">
        <v>43</v>
      </c>
      <c r="M132" s="30" t="n">
        <v>0</v>
      </c>
    </row>
    <row r="133" customFormat="false" ht="15" hidden="false" customHeight="false" outlineLevel="0" collapsed="false">
      <c r="A133" s="0" t="s">
        <v>406</v>
      </c>
      <c r="B133" s="0" t="s">
        <v>407</v>
      </c>
      <c r="C133" s="0" t="s">
        <v>71</v>
      </c>
      <c r="D133" s="0" t="s">
        <v>98</v>
      </c>
      <c r="E133" s="0" t="n">
        <v>9</v>
      </c>
      <c r="F133" s="30" t="n">
        <v>0</v>
      </c>
      <c r="G133" s="31" t="n">
        <v>45277</v>
      </c>
      <c r="H133" s="31" t="n">
        <v>45380</v>
      </c>
      <c r="I133" s="0" t="n">
        <v>103</v>
      </c>
      <c r="J133" s="32" t="s">
        <v>31</v>
      </c>
      <c r="K133" s="32" t="s">
        <v>43</v>
      </c>
      <c r="M133" s="30" t="n">
        <v>0</v>
      </c>
    </row>
    <row r="134" customFormat="false" ht="15" hidden="false" customHeight="false" outlineLevel="0" collapsed="false">
      <c r="A134" s="0" t="s">
        <v>408</v>
      </c>
      <c r="B134" s="0" t="s">
        <v>409</v>
      </c>
      <c r="C134" s="0" t="s">
        <v>73</v>
      </c>
      <c r="D134" s="0" t="s">
        <v>93</v>
      </c>
      <c r="E134" s="0" t="n">
        <v>50</v>
      </c>
      <c r="F134" s="30" t="n">
        <v>9950</v>
      </c>
      <c r="G134" s="31" t="n">
        <v>45539</v>
      </c>
      <c r="H134" s="31" t="n">
        <v>45551</v>
      </c>
      <c r="I134" s="0" t="n">
        <v>12</v>
      </c>
      <c r="J134" s="32" t="s">
        <v>33</v>
      </c>
      <c r="K134" s="32" t="s">
        <v>64</v>
      </c>
      <c r="L134" s="32" t="s">
        <v>410</v>
      </c>
      <c r="M134" s="30" t="n">
        <v>0</v>
      </c>
    </row>
    <row r="135" customFormat="false" ht="15" hidden="false" customHeight="false" outlineLevel="0" collapsed="false">
      <c r="A135" s="0" t="s">
        <v>411</v>
      </c>
      <c r="B135" s="0" t="s">
        <v>179</v>
      </c>
      <c r="C135" s="0" t="s">
        <v>72</v>
      </c>
      <c r="D135" s="0" t="s">
        <v>93</v>
      </c>
      <c r="E135" s="0" t="n">
        <v>39</v>
      </c>
      <c r="F135" s="30" t="n">
        <v>1911</v>
      </c>
      <c r="G135" s="31" t="n">
        <v>45275</v>
      </c>
      <c r="H135" s="31" t="n">
        <v>45302</v>
      </c>
      <c r="I135" s="0" t="n">
        <v>27</v>
      </c>
      <c r="J135" s="32" t="s">
        <v>31</v>
      </c>
      <c r="K135" s="32" t="s">
        <v>42</v>
      </c>
      <c r="M135" s="30" t="n">
        <v>0</v>
      </c>
    </row>
    <row r="136" customFormat="false" ht="15" hidden="false" customHeight="false" outlineLevel="0" collapsed="false">
      <c r="A136" s="0" t="s">
        <v>412</v>
      </c>
      <c r="B136" s="0" t="s">
        <v>407</v>
      </c>
      <c r="C136" s="0" t="s">
        <v>71</v>
      </c>
      <c r="D136" s="0" t="s">
        <v>98</v>
      </c>
      <c r="E136" s="0" t="n">
        <v>51</v>
      </c>
      <c r="F136" s="30" t="n">
        <v>0</v>
      </c>
      <c r="G136" s="31" t="n">
        <v>45232</v>
      </c>
      <c r="H136" s="31" t="n">
        <v>45575</v>
      </c>
      <c r="I136" s="0" t="n">
        <v>343</v>
      </c>
      <c r="J136" s="32" t="s">
        <v>34</v>
      </c>
      <c r="K136" s="32" t="s">
        <v>43</v>
      </c>
      <c r="M136" s="30" t="n">
        <v>0</v>
      </c>
    </row>
    <row r="137" customFormat="false" ht="15" hidden="false" customHeight="false" outlineLevel="0" collapsed="false">
      <c r="A137" s="0" t="s">
        <v>413</v>
      </c>
      <c r="B137" s="0" t="s">
        <v>414</v>
      </c>
      <c r="C137" s="0" t="s">
        <v>72</v>
      </c>
      <c r="D137" s="0" t="s">
        <v>93</v>
      </c>
      <c r="E137" s="0" t="n">
        <v>19</v>
      </c>
      <c r="F137" s="30" t="n">
        <v>931</v>
      </c>
      <c r="G137" s="31" t="n">
        <v>45416</v>
      </c>
      <c r="H137" s="31" t="n">
        <v>45469</v>
      </c>
      <c r="I137" s="0" t="n">
        <v>53</v>
      </c>
      <c r="J137" s="32" t="s">
        <v>32</v>
      </c>
      <c r="K137" s="32" t="s">
        <v>43</v>
      </c>
      <c r="M137" s="30" t="n">
        <v>0</v>
      </c>
    </row>
    <row r="138" customFormat="false" ht="15" hidden="false" customHeight="false" outlineLevel="0" collapsed="false">
      <c r="A138" s="0" t="s">
        <v>415</v>
      </c>
      <c r="B138" s="0" t="s">
        <v>416</v>
      </c>
      <c r="C138" s="0" t="s">
        <v>73</v>
      </c>
      <c r="D138" s="0" t="s">
        <v>93</v>
      </c>
      <c r="E138" s="0" t="n">
        <v>78</v>
      </c>
      <c r="F138" s="30" t="n">
        <v>15522</v>
      </c>
      <c r="G138" s="31" t="n">
        <v>45550</v>
      </c>
      <c r="H138" s="31" t="n">
        <v>45556</v>
      </c>
      <c r="I138" s="0" t="n">
        <v>6</v>
      </c>
      <c r="J138" s="32" t="s">
        <v>33</v>
      </c>
      <c r="K138" s="32" t="s">
        <v>64</v>
      </c>
      <c r="L138" s="32" t="s">
        <v>417</v>
      </c>
      <c r="M138" s="30" t="n">
        <v>392</v>
      </c>
    </row>
    <row r="139" customFormat="false" ht="15" hidden="false" customHeight="false" outlineLevel="0" collapsed="false">
      <c r="A139" s="0" t="s">
        <v>418</v>
      </c>
      <c r="B139" s="0" t="s">
        <v>365</v>
      </c>
      <c r="C139" s="0" t="s">
        <v>71</v>
      </c>
      <c r="D139" s="0" t="s">
        <v>93</v>
      </c>
      <c r="E139" s="0" t="n">
        <v>18</v>
      </c>
      <c r="F139" s="30" t="n">
        <v>342</v>
      </c>
      <c r="G139" s="31" t="n">
        <v>45546</v>
      </c>
      <c r="H139" s="31" t="n">
        <v>45606</v>
      </c>
      <c r="I139" s="0" t="n">
        <v>60</v>
      </c>
      <c r="J139" s="32" t="s">
        <v>34</v>
      </c>
      <c r="K139" s="32" t="s">
        <v>64</v>
      </c>
      <c r="L139" s="32" t="s">
        <v>419</v>
      </c>
      <c r="M139" s="30" t="n">
        <v>597</v>
      </c>
    </row>
    <row r="140" customFormat="false" ht="15" hidden="false" customHeight="false" outlineLevel="0" collapsed="false">
      <c r="A140" s="0" t="s">
        <v>420</v>
      </c>
      <c r="B140" s="0" t="s">
        <v>421</v>
      </c>
      <c r="C140" s="0" t="s">
        <v>71</v>
      </c>
      <c r="D140" s="0" t="s">
        <v>93</v>
      </c>
      <c r="E140" s="0" t="n">
        <v>20</v>
      </c>
      <c r="F140" s="30" t="n">
        <v>380</v>
      </c>
      <c r="G140" s="31" t="n">
        <v>45397</v>
      </c>
      <c r="H140" s="31" t="n">
        <v>45572</v>
      </c>
      <c r="I140" s="0" t="n">
        <v>175</v>
      </c>
      <c r="J140" s="32" t="s">
        <v>34</v>
      </c>
      <c r="K140" s="32" t="s">
        <v>43</v>
      </c>
      <c r="M140" s="30" t="n">
        <v>0</v>
      </c>
    </row>
    <row r="141" customFormat="false" ht="15" hidden="false" customHeight="false" outlineLevel="0" collapsed="false">
      <c r="A141" s="0" t="s">
        <v>422</v>
      </c>
      <c r="B141" s="0" t="s">
        <v>423</v>
      </c>
      <c r="C141" s="0" t="s">
        <v>71</v>
      </c>
      <c r="D141" s="0" t="s">
        <v>93</v>
      </c>
      <c r="E141" s="0" t="n">
        <v>5</v>
      </c>
      <c r="F141" s="30" t="n">
        <v>95</v>
      </c>
      <c r="G141" s="31" t="n">
        <v>45172</v>
      </c>
      <c r="H141" s="31" t="n">
        <v>45355</v>
      </c>
      <c r="I141" s="0" t="n">
        <v>183</v>
      </c>
      <c r="J141" s="32" t="s">
        <v>31</v>
      </c>
      <c r="K141" s="32" t="s">
        <v>43</v>
      </c>
      <c r="M141" s="30" t="n">
        <v>0</v>
      </c>
    </row>
    <row r="142" customFormat="false" ht="15" hidden="false" customHeight="false" outlineLevel="0" collapsed="false">
      <c r="A142" s="0" t="s">
        <v>424</v>
      </c>
      <c r="B142" s="0" t="s">
        <v>425</v>
      </c>
      <c r="C142" s="0" t="s">
        <v>71</v>
      </c>
      <c r="D142" s="0" t="s">
        <v>93</v>
      </c>
      <c r="E142" s="0" t="n">
        <v>47</v>
      </c>
      <c r="F142" s="30" t="n">
        <v>893</v>
      </c>
      <c r="G142" s="31" t="n">
        <v>45573</v>
      </c>
      <c r="H142" s="31" t="n">
        <v>45583</v>
      </c>
      <c r="I142" s="0" t="n">
        <v>10</v>
      </c>
      <c r="J142" s="32" t="s">
        <v>34</v>
      </c>
      <c r="K142" s="32" t="s">
        <v>64</v>
      </c>
      <c r="L142" s="32" t="s">
        <v>426</v>
      </c>
      <c r="M142" s="30" t="n">
        <v>0</v>
      </c>
    </row>
    <row r="143" customFormat="false" ht="15" hidden="false" customHeight="false" outlineLevel="0" collapsed="false">
      <c r="A143" s="0" t="s">
        <v>427</v>
      </c>
      <c r="B143" s="0" t="s">
        <v>428</v>
      </c>
      <c r="C143" s="0" t="s">
        <v>73</v>
      </c>
      <c r="D143" s="0" t="s">
        <v>93</v>
      </c>
      <c r="E143" s="0" t="n">
        <v>26</v>
      </c>
      <c r="F143" s="30" t="n">
        <v>5174</v>
      </c>
      <c r="G143" s="31" t="n">
        <v>45470</v>
      </c>
      <c r="H143" s="31" t="n">
        <v>45630</v>
      </c>
      <c r="I143" s="0" t="n">
        <v>160</v>
      </c>
      <c r="J143" s="32" t="s">
        <v>34</v>
      </c>
      <c r="K143" s="32" t="s">
        <v>43</v>
      </c>
      <c r="M143" s="30" t="n">
        <v>0</v>
      </c>
    </row>
    <row r="144" customFormat="false" ht="15" hidden="false" customHeight="false" outlineLevel="0" collapsed="false">
      <c r="A144" s="0" t="s">
        <v>429</v>
      </c>
      <c r="B144" s="0" t="s">
        <v>421</v>
      </c>
      <c r="C144" s="0" t="s">
        <v>73</v>
      </c>
      <c r="D144" s="0" t="s">
        <v>93</v>
      </c>
      <c r="E144" s="0" t="n">
        <v>8</v>
      </c>
      <c r="F144" s="30" t="n">
        <v>1592</v>
      </c>
      <c r="G144" s="31" t="n">
        <v>45338</v>
      </c>
      <c r="H144" s="31" t="n">
        <v>45405</v>
      </c>
      <c r="I144" s="0" t="n">
        <v>67</v>
      </c>
      <c r="J144" s="32" t="s">
        <v>32</v>
      </c>
      <c r="K144" s="32" t="s">
        <v>64</v>
      </c>
      <c r="L144" s="32" t="s">
        <v>430</v>
      </c>
      <c r="M144" s="30" t="n">
        <v>1176</v>
      </c>
    </row>
    <row r="145" customFormat="false" ht="15" hidden="false" customHeight="false" outlineLevel="0" collapsed="false">
      <c r="A145" s="0" t="s">
        <v>431</v>
      </c>
      <c r="B145" s="0" t="s">
        <v>432</v>
      </c>
      <c r="C145" s="0" t="s">
        <v>73</v>
      </c>
      <c r="D145" s="0" t="s">
        <v>93</v>
      </c>
      <c r="E145" s="0" t="n">
        <v>37</v>
      </c>
      <c r="F145" s="30" t="n">
        <v>7363</v>
      </c>
      <c r="G145" s="31" t="n">
        <v>45186</v>
      </c>
      <c r="H145" s="31" t="n">
        <v>45340</v>
      </c>
      <c r="I145" s="0" t="n">
        <v>154</v>
      </c>
      <c r="J145" s="32" t="s">
        <v>31</v>
      </c>
      <c r="K145" s="32" t="s">
        <v>43</v>
      </c>
      <c r="M145" s="30" t="n">
        <v>0</v>
      </c>
    </row>
    <row r="146" customFormat="false" ht="15" hidden="false" customHeight="false" outlineLevel="0" collapsed="false">
      <c r="A146" s="0" t="s">
        <v>433</v>
      </c>
      <c r="B146" s="0" t="s">
        <v>306</v>
      </c>
      <c r="C146" s="0" t="s">
        <v>73</v>
      </c>
      <c r="D146" s="0" t="s">
        <v>93</v>
      </c>
      <c r="E146" s="0" t="n">
        <v>5</v>
      </c>
      <c r="F146" s="30" t="n">
        <v>995</v>
      </c>
      <c r="G146" s="31" t="n">
        <v>45367</v>
      </c>
      <c r="H146" s="31" t="n">
        <v>45442</v>
      </c>
      <c r="I146" s="0" t="n">
        <v>75</v>
      </c>
      <c r="J146" s="32" t="s">
        <v>32</v>
      </c>
      <c r="K146" s="32" t="s">
        <v>43</v>
      </c>
      <c r="M146" s="30" t="n">
        <v>0</v>
      </c>
    </row>
    <row r="147" customFormat="false" ht="15" hidden="false" customHeight="false" outlineLevel="0" collapsed="false">
      <c r="A147" s="0" t="s">
        <v>434</v>
      </c>
      <c r="B147" s="0" t="s">
        <v>435</v>
      </c>
      <c r="C147" s="0" t="s">
        <v>71</v>
      </c>
      <c r="D147" s="0" t="s">
        <v>93</v>
      </c>
      <c r="E147" s="0" t="n">
        <v>41</v>
      </c>
      <c r="F147" s="30" t="n">
        <v>779</v>
      </c>
      <c r="G147" s="31" t="n">
        <v>45655</v>
      </c>
      <c r="H147" s="31" t="n">
        <v>45657</v>
      </c>
      <c r="I147" s="0" t="n">
        <v>2</v>
      </c>
      <c r="J147" s="32" t="s">
        <v>34</v>
      </c>
      <c r="K147" s="32" t="s">
        <v>64</v>
      </c>
      <c r="L147" s="32" t="s">
        <v>436</v>
      </c>
      <c r="M147" s="30" t="n">
        <v>5771</v>
      </c>
    </row>
    <row r="148" customFormat="false" ht="15" hidden="false" customHeight="false" outlineLevel="0" collapsed="false">
      <c r="A148" s="0" t="s">
        <v>437</v>
      </c>
      <c r="B148" s="0" t="s">
        <v>438</v>
      </c>
      <c r="C148" s="0" t="s">
        <v>72</v>
      </c>
      <c r="D148" s="0" t="s">
        <v>93</v>
      </c>
      <c r="E148" s="0" t="n">
        <v>5</v>
      </c>
      <c r="F148" s="30" t="n">
        <v>245</v>
      </c>
      <c r="G148" s="31" t="n">
        <v>45657</v>
      </c>
      <c r="H148" s="31" t="n">
        <v>45657</v>
      </c>
      <c r="I148" s="0" t="n">
        <v>0</v>
      </c>
      <c r="J148" s="32" t="s">
        <v>34</v>
      </c>
      <c r="K148" s="32" t="s">
        <v>64</v>
      </c>
      <c r="L148" s="32" t="s">
        <v>439</v>
      </c>
      <c r="M148" s="30" t="n">
        <v>0</v>
      </c>
    </row>
    <row r="149" customFormat="false" ht="15" hidden="false" customHeight="false" outlineLevel="0" collapsed="false">
      <c r="A149" s="0" t="s">
        <v>440</v>
      </c>
      <c r="B149" s="0" t="s">
        <v>296</v>
      </c>
      <c r="C149" s="0" t="s">
        <v>71</v>
      </c>
      <c r="D149" s="0" t="s">
        <v>93</v>
      </c>
      <c r="E149" s="0" t="n">
        <v>9</v>
      </c>
      <c r="F149" s="30" t="n">
        <v>171</v>
      </c>
      <c r="G149" s="31" t="n">
        <v>45553</v>
      </c>
      <c r="H149" s="31" t="n">
        <v>45578</v>
      </c>
      <c r="I149" s="0" t="n">
        <v>25</v>
      </c>
      <c r="J149" s="32" t="s">
        <v>34</v>
      </c>
      <c r="K149" s="32" t="s">
        <v>42</v>
      </c>
      <c r="M149" s="30" t="n">
        <v>0</v>
      </c>
    </row>
    <row r="150" customFormat="false" ht="15" hidden="false" customHeight="false" outlineLevel="0" collapsed="false">
      <c r="A150" s="0" t="s">
        <v>441</v>
      </c>
      <c r="B150" s="0" t="s">
        <v>442</v>
      </c>
      <c r="C150" s="0" t="s">
        <v>72</v>
      </c>
      <c r="D150" s="0" t="s">
        <v>93</v>
      </c>
      <c r="E150" s="0" t="n">
        <v>15</v>
      </c>
      <c r="F150" s="30" t="n">
        <v>735</v>
      </c>
      <c r="G150" s="31" t="n">
        <v>45647</v>
      </c>
      <c r="H150" s="31" t="n">
        <v>45655</v>
      </c>
      <c r="I150" s="0" t="n">
        <v>8</v>
      </c>
      <c r="J150" s="32" t="s">
        <v>34</v>
      </c>
      <c r="K150" s="32" t="s">
        <v>64</v>
      </c>
      <c r="L150" s="32" t="s">
        <v>443</v>
      </c>
      <c r="M150" s="30" t="n">
        <v>0</v>
      </c>
    </row>
    <row r="151" customFormat="false" ht="15" hidden="false" customHeight="false" outlineLevel="0" collapsed="false">
      <c r="A151" s="0" t="s">
        <v>444</v>
      </c>
      <c r="B151" s="0" t="s">
        <v>362</v>
      </c>
      <c r="C151" s="0" t="s">
        <v>73</v>
      </c>
      <c r="D151" s="0" t="s">
        <v>93</v>
      </c>
      <c r="E151" s="0" t="n">
        <v>55</v>
      </c>
      <c r="F151" s="30" t="n">
        <v>10945</v>
      </c>
      <c r="G151" s="31" t="n">
        <v>45584</v>
      </c>
      <c r="H151" s="31" t="n">
        <v>45643</v>
      </c>
      <c r="I151" s="0" t="n">
        <v>59</v>
      </c>
      <c r="J151" s="32" t="s">
        <v>34</v>
      </c>
      <c r="K151" s="32" t="s">
        <v>43</v>
      </c>
      <c r="M151" s="30" t="n">
        <v>0</v>
      </c>
    </row>
    <row r="152" customFormat="false" ht="15" hidden="false" customHeight="false" outlineLevel="0" collapsed="false">
      <c r="A152" s="0" t="s">
        <v>445</v>
      </c>
      <c r="B152" s="0" t="s">
        <v>446</v>
      </c>
      <c r="C152" s="0" t="s">
        <v>71</v>
      </c>
      <c r="D152" s="0" t="s">
        <v>93</v>
      </c>
      <c r="E152" s="0" t="n">
        <v>89</v>
      </c>
      <c r="F152" s="30" t="n">
        <v>1691</v>
      </c>
      <c r="G152" s="31" t="n">
        <v>45307</v>
      </c>
      <c r="H152" s="31" t="n">
        <v>45441</v>
      </c>
      <c r="I152" s="0" t="n">
        <v>134</v>
      </c>
      <c r="J152" s="32" t="s">
        <v>32</v>
      </c>
      <c r="K152" s="32" t="s">
        <v>43</v>
      </c>
      <c r="M152" s="30" t="n">
        <v>0</v>
      </c>
    </row>
    <row r="153" customFormat="false" ht="15" hidden="false" customHeight="false" outlineLevel="0" collapsed="false">
      <c r="A153" s="0" t="s">
        <v>447</v>
      </c>
      <c r="B153" s="0" t="s">
        <v>438</v>
      </c>
      <c r="C153" s="0" t="s">
        <v>73</v>
      </c>
      <c r="D153" s="0" t="s">
        <v>98</v>
      </c>
      <c r="E153" s="0" t="n">
        <v>10</v>
      </c>
      <c r="F153" s="30" t="n">
        <v>0</v>
      </c>
      <c r="G153" s="31" t="n">
        <v>45640</v>
      </c>
      <c r="H153" s="31" t="n">
        <v>45655</v>
      </c>
      <c r="I153" s="0" t="n">
        <v>15</v>
      </c>
      <c r="J153" s="32" t="s">
        <v>34</v>
      </c>
      <c r="K153" s="32" t="s">
        <v>64</v>
      </c>
      <c r="L153" s="32" t="s">
        <v>439</v>
      </c>
      <c r="M153" s="30" t="n">
        <v>245</v>
      </c>
    </row>
    <row r="154" customFormat="false" ht="15" hidden="false" customHeight="false" outlineLevel="0" collapsed="false">
      <c r="A154" s="0" t="s">
        <v>448</v>
      </c>
      <c r="B154" s="0" t="s">
        <v>449</v>
      </c>
      <c r="C154" s="0" t="s">
        <v>73</v>
      </c>
      <c r="D154" s="0" t="s">
        <v>93</v>
      </c>
      <c r="E154" s="0" t="n">
        <v>25</v>
      </c>
      <c r="F154" s="30" t="n">
        <v>4975</v>
      </c>
      <c r="G154" s="31" t="n">
        <v>45599</v>
      </c>
      <c r="H154" s="31" t="n">
        <v>45635</v>
      </c>
      <c r="I154" s="0" t="n">
        <v>36</v>
      </c>
      <c r="J154" s="32" t="s">
        <v>34</v>
      </c>
      <c r="K154" s="32" t="s">
        <v>43</v>
      </c>
      <c r="M154" s="30" t="n">
        <v>0</v>
      </c>
    </row>
    <row r="155" customFormat="false" ht="15" hidden="false" customHeight="false" outlineLevel="0" collapsed="false">
      <c r="A155" s="0" t="s">
        <v>450</v>
      </c>
      <c r="B155" s="0" t="s">
        <v>255</v>
      </c>
      <c r="C155" s="0" t="s">
        <v>72</v>
      </c>
      <c r="D155" s="0" t="s">
        <v>93</v>
      </c>
      <c r="E155" s="0" t="n">
        <v>55</v>
      </c>
      <c r="F155" s="30" t="n">
        <v>2695</v>
      </c>
      <c r="G155" s="31" t="n">
        <v>45192</v>
      </c>
      <c r="H155" s="31" t="n">
        <v>45214</v>
      </c>
      <c r="I155" s="0" t="n">
        <v>22</v>
      </c>
      <c r="J155" s="32" t="s">
        <v>30</v>
      </c>
      <c r="K155" s="32" t="s">
        <v>64</v>
      </c>
      <c r="L155" s="32" t="s">
        <v>451</v>
      </c>
      <c r="M155" s="30" t="n">
        <v>2695</v>
      </c>
    </row>
    <row r="156" customFormat="false" ht="15" hidden="false" customHeight="false" outlineLevel="0" collapsed="false">
      <c r="A156" s="0" t="s">
        <v>452</v>
      </c>
      <c r="B156" s="0" t="s">
        <v>274</v>
      </c>
      <c r="C156" s="0" t="s">
        <v>73</v>
      </c>
      <c r="D156" s="0" t="s">
        <v>93</v>
      </c>
      <c r="E156" s="0" t="n">
        <v>48</v>
      </c>
      <c r="F156" s="30" t="n">
        <v>9552</v>
      </c>
      <c r="G156" s="31" t="n">
        <v>45327</v>
      </c>
      <c r="H156" s="31" t="n">
        <v>45578</v>
      </c>
      <c r="I156" s="0" t="n">
        <v>251</v>
      </c>
      <c r="J156" s="32" t="s">
        <v>34</v>
      </c>
      <c r="K156" s="32" t="s">
        <v>43</v>
      </c>
      <c r="M156" s="30" t="n">
        <v>0</v>
      </c>
    </row>
    <row r="157" customFormat="false" ht="15" hidden="false" customHeight="false" outlineLevel="0" collapsed="false">
      <c r="A157" s="0" t="s">
        <v>453</v>
      </c>
      <c r="B157" s="0" t="s">
        <v>454</v>
      </c>
      <c r="C157" s="0" t="s">
        <v>72</v>
      </c>
      <c r="D157" s="0" t="s">
        <v>98</v>
      </c>
      <c r="E157" s="0" t="n">
        <v>40</v>
      </c>
      <c r="F157" s="30" t="n">
        <v>0</v>
      </c>
      <c r="G157" s="31" t="n">
        <v>45128</v>
      </c>
      <c r="H157" s="31" t="n">
        <v>45588</v>
      </c>
      <c r="I157" s="0" t="n">
        <v>460</v>
      </c>
      <c r="J157" s="32" t="s">
        <v>34</v>
      </c>
      <c r="K157" s="32" t="s">
        <v>43</v>
      </c>
      <c r="M157" s="30" t="n">
        <v>0</v>
      </c>
    </row>
    <row r="158" customFormat="false" ht="15" hidden="false" customHeight="false" outlineLevel="0" collapsed="false">
      <c r="A158" s="0" t="s">
        <v>455</v>
      </c>
      <c r="B158" s="0" t="s">
        <v>438</v>
      </c>
      <c r="C158" s="0" t="s">
        <v>71</v>
      </c>
      <c r="D158" s="0" t="s">
        <v>93</v>
      </c>
      <c r="E158" s="0" t="n">
        <v>5</v>
      </c>
      <c r="F158" s="30" t="n">
        <v>95</v>
      </c>
      <c r="G158" s="31" t="n">
        <v>45643</v>
      </c>
      <c r="H158" s="31" t="n">
        <v>45648</v>
      </c>
      <c r="I158" s="0" t="n">
        <v>5</v>
      </c>
      <c r="J158" s="32" t="s">
        <v>34</v>
      </c>
      <c r="K158" s="32" t="s">
        <v>64</v>
      </c>
      <c r="L158" s="32" t="s">
        <v>456</v>
      </c>
      <c r="M158" s="30" t="n">
        <v>0</v>
      </c>
    </row>
    <row r="159" customFormat="false" ht="15" hidden="false" customHeight="false" outlineLevel="0" collapsed="false">
      <c r="A159" s="0" t="s">
        <v>457</v>
      </c>
      <c r="B159" s="0" t="s">
        <v>458</v>
      </c>
      <c r="C159" s="0" t="s">
        <v>72</v>
      </c>
      <c r="D159" s="0" t="s">
        <v>93</v>
      </c>
      <c r="E159" s="0" t="n">
        <v>44</v>
      </c>
      <c r="F159" s="30" t="n">
        <v>2156</v>
      </c>
      <c r="G159" s="31" t="n">
        <v>45628</v>
      </c>
      <c r="H159" s="31" t="n">
        <v>45629</v>
      </c>
      <c r="I159" s="0" t="n">
        <v>1</v>
      </c>
      <c r="J159" s="32" t="s">
        <v>34</v>
      </c>
      <c r="K159" s="32" t="s">
        <v>64</v>
      </c>
      <c r="L159" s="32" t="s">
        <v>459</v>
      </c>
      <c r="M159" s="30" t="n">
        <v>0</v>
      </c>
    </row>
    <row r="160" customFormat="false" ht="15" hidden="false" customHeight="false" outlineLevel="0" collapsed="false">
      <c r="A160" s="0" t="s">
        <v>460</v>
      </c>
      <c r="B160" s="0" t="s">
        <v>461</v>
      </c>
      <c r="C160" s="0" t="s">
        <v>72</v>
      </c>
      <c r="D160" s="0" t="s">
        <v>93</v>
      </c>
      <c r="E160" s="0" t="n">
        <v>31</v>
      </c>
      <c r="F160" s="30" t="n">
        <v>1519</v>
      </c>
      <c r="G160" s="31" t="n">
        <v>45233</v>
      </c>
      <c r="H160" s="31" t="n">
        <v>45640</v>
      </c>
      <c r="I160" s="0" t="n">
        <v>407</v>
      </c>
      <c r="J160" s="32" t="s">
        <v>34</v>
      </c>
      <c r="K160" s="32" t="s">
        <v>64</v>
      </c>
      <c r="L160" s="32" t="s">
        <v>462</v>
      </c>
      <c r="M160" s="30" t="n">
        <v>1715</v>
      </c>
    </row>
    <row r="161" customFormat="false" ht="15" hidden="false" customHeight="false" outlineLevel="0" collapsed="false">
      <c r="A161" s="0" t="s">
        <v>463</v>
      </c>
      <c r="B161" s="0" t="s">
        <v>464</v>
      </c>
      <c r="C161" s="0" t="s">
        <v>71</v>
      </c>
      <c r="D161" s="0" t="s">
        <v>93</v>
      </c>
      <c r="E161" s="0" t="n">
        <v>41</v>
      </c>
      <c r="F161" s="30" t="n">
        <v>779</v>
      </c>
      <c r="G161" s="31" t="n">
        <v>45515</v>
      </c>
      <c r="H161" s="31" t="n">
        <v>45553</v>
      </c>
      <c r="I161" s="0" t="n">
        <v>38</v>
      </c>
      <c r="J161" s="32" t="s">
        <v>33</v>
      </c>
      <c r="K161" s="32" t="s">
        <v>43</v>
      </c>
      <c r="M161" s="30" t="n">
        <v>0</v>
      </c>
    </row>
    <row r="162" customFormat="false" ht="15" hidden="false" customHeight="false" outlineLevel="0" collapsed="false">
      <c r="A162" s="0" t="s">
        <v>465</v>
      </c>
      <c r="B162" s="0" t="s">
        <v>466</v>
      </c>
      <c r="C162" s="0" t="s">
        <v>73</v>
      </c>
      <c r="D162" s="0" t="s">
        <v>93</v>
      </c>
      <c r="E162" s="0" t="n">
        <v>63</v>
      </c>
      <c r="F162" s="30" t="n">
        <v>12537</v>
      </c>
      <c r="G162" s="31" t="n">
        <v>45373</v>
      </c>
      <c r="H162" s="31" t="n">
        <v>45629</v>
      </c>
      <c r="I162" s="0" t="n">
        <v>256</v>
      </c>
      <c r="J162" s="32" t="s">
        <v>34</v>
      </c>
      <c r="K162" s="32" t="s">
        <v>43</v>
      </c>
      <c r="M162" s="30" t="n">
        <v>0</v>
      </c>
    </row>
    <row r="163" customFormat="false" ht="15" hidden="false" customHeight="false" outlineLevel="0" collapsed="false">
      <c r="A163" s="0" t="s">
        <v>467</v>
      </c>
      <c r="B163" s="0" t="s">
        <v>468</v>
      </c>
      <c r="C163" s="0" t="s">
        <v>71</v>
      </c>
      <c r="D163" s="0" t="s">
        <v>93</v>
      </c>
      <c r="E163" s="0" t="n">
        <v>20</v>
      </c>
      <c r="F163" s="30" t="n">
        <v>380</v>
      </c>
      <c r="G163" s="31" t="n">
        <v>45108</v>
      </c>
      <c r="H163" s="31" t="n">
        <v>45389</v>
      </c>
      <c r="I163" s="0" t="n">
        <v>281</v>
      </c>
      <c r="J163" s="32" t="s">
        <v>32</v>
      </c>
      <c r="K163" s="32" t="s">
        <v>43</v>
      </c>
      <c r="M163" s="30" t="n">
        <v>0</v>
      </c>
    </row>
    <row r="164" customFormat="false" ht="15" hidden="false" customHeight="false" outlineLevel="0" collapsed="false">
      <c r="A164" s="0" t="s">
        <v>469</v>
      </c>
      <c r="B164" s="0" t="s">
        <v>454</v>
      </c>
      <c r="C164" s="0" t="s">
        <v>71</v>
      </c>
      <c r="D164" s="0" t="s">
        <v>93</v>
      </c>
      <c r="E164" s="0" t="n">
        <v>40</v>
      </c>
      <c r="F164" s="30" t="n">
        <v>760</v>
      </c>
      <c r="G164" s="31" t="n">
        <v>45423</v>
      </c>
      <c r="H164" s="31" t="n">
        <v>45493</v>
      </c>
      <c r="I164" s="0" t="n">
        <v>70</v>
      </c>
      <c r="J164" s="32" t="s">
        <v>33</v>
      </c>
      <c r="K164" s="32" t="s">
        <v>43</v>
      </c>
      <c r="M164" s="30" t="n">
        <v>0</v>
      </c>
    </row>
    <row r="165" customFormat="false" ht="15" hidden="false" customHeight="false" outlineLevel="0" collapsed="false">
      <c r="A165" s="0" t="s">
        <v>470</v>
      </c>
      <c r="B165" s="0" t="s">
        <v>428</v>
      </c>
      <c r="C165" s="0" t="s">
        <v>71</v>
      </c>
      <c r="D165" s="0" t="s">
        <v>93</v>
      </c>
      <c r="E165" s="0" t="n">
        <v>12</v>
      </c>
      <c r="F165" s="30" t="n">
        <v>228</v>
      </c>
      <c r="G165" s="31" t="n">
        <v>45606</v>
      </c>
      <c r="H165" s="31" t="n">
        <v>45622</v>
      </c>
      <c r="I165" s="0" t="n">
        <v>16</v>
      </c>
      <c r="J165" s="32" t="s">
        <v>34</v>
      </c>
      <c r="K165" s="32" t="s">
        <v>64</v>
      </c>
      <c r="L165" s="32" t="s">
        <v>471</v>
      </c>
      <c r="M165" s="30" t="n">
        <v>228</v>
      </c>
    </row>
    <row r="166" customFormat="false" ht="15" hidden="false" customHeight="false" outlineLevel="0" collapsed="false">
      <c r="A166" s="0" t="s">
        <v>472</v>
      </c>
      <c r="B166" s="0" t="s">
        <v>458</v>
      </c>
      <c r="C166" s="0" t="s">
        <v>73</v>
      </c>
      <c r="D166" s="0" t="s">
        <v>93</v>
      </c>
      <c r="E166" s="0" t="n">
        <v>18</v>
      </c>
      <c r="F166" s="30" t="n">
        <v>3582</v>
      </c>
      <c r="G166" s="31" t="n">
        <v>45562</v>
      </c>
      <c r="H166" s="31" t="n">
        <v>45644</v>
      </c>
      <c r="I166" s="0" t="n">
        <v>82</v>
      </c>
      <c r="J166" s="32" t="s">
        <v>34</v>
      </c>
      <c r="K166" s="32" t="s">
        <v>64</v>
      </c>
      <c r="L166" s="32" t="s">
        <v>473</v>
      </c>
      <c r="M166" s="30" t="n">
        <v>882</v>
      </c>
    </row>
    <row r="167" customFormat="false" ht="15" hidden="false" customHeight="false" outlineLevel="0" collapsed="false">
      <c r="A167" s="0" t="s">
        <v>474</v>
      </c>
      <c r="B167" s="0" t="s">
        <v>475</v>
      </c>
      <c r="C167" s="0" t="s">
        <v>71</v>
      </c>
      <c r="D167" s="0" t="s">
        <v>93</v>
      </c>
      <c r="E167" s="0" t="n">
        <v>15</v>
      </c>
      <c r="F167" s="30" t="n">
        <v>285</v>
      </c>
      <c r="G167" s="31" t="n">
        <v>45509</v>
      </c>
      <c r="H167" s="31" t="n">
        <v>45521</v>
      </c>
      <c r="I167" s="0" t="n">
        <v>12</v>
      </c>
      <c r="J167" s="32" t="s">
        <v>33</v>
      </c>
      <c r="K167" s="32" t="s">
        <v>64</v>
      </c>
      <c r="L167" s="32" t="s">
        <v>476</v>
      </c>
      <c r="M167" s="30" t="n">
        <v>4975</v>
      </c>
    </row>
    <row r="168" customFormat="false" ht="15" hidden="false" customHeight="false" outlineLevel="0" collapsed="false">
      <c r="A168" s="0" t="s">
        <v>222</v>
      </c>
      <c r="B168" s="0" t="s">
        <v>116</v>
      </c>
      <c r="C168" s="0" t="s">
        <v>73</v>
      </c>
      <c r="D168" s="0" t="s">
        <v>93</v>
      </c>
      <c r="E168" s="0" t="n">
        <v>6</v>
      </c>
      <c r="F168" s="30" t="n">
        <v>1194</v>
      </c>
      <c r="G168" s="31" t="n">
        <v>45563</v>
      </c>
      <c r="H168" s="31" t="n">
        <v>45642</v>
      </c>
      <c r="I168" s="0" t="n">
        <v>79</v>
      </c>
      <c r="J168" s="32" t="s">
        <v>34</v>
      </c>
      <c r="K168" s="32" t="s">
        <v>64</v>
      </c>
      <c r="L168" s="32" t="s">
        <v>477</v>
      </c>
      <c r="M168" s="30" t="n">
        <v>1140</v>
      </c>
    </row>
    <row r="169" customFormat="false" ht="15" hidden="false" customHeight="false" outlineLevel="0" collapsed="false">
      <c r="A169" s="0" t="s">
        <v>417</v>
      </c>
      <c r="B169" s="0" t="s">
        <v>416</v>
      </c>
      <c r="C169" s="0" t="s">
        <v>72</v>
      </c>
      <c r="D169" s="0" t="s">
        <v>93</v>
      </c>
      <c r="E169" s="0" t="n">
        <v>8</v>
      </c>
      <c r="F169" s="30" t="n">
        <v>392</v>
      </c>
      <c r="G169" s="31" t="n">
        <v>45556</v>
      </c>
      <c r="H169" s="31" t="n">
        <v>45591</v>
      </c>
      <c r="I169" s="0" t="n">
        <v>35</v>
      </c>
      <c r="J169" s="32" t="s">
        <v>34</v>
      </c>
      <c r="K169" s="32" t="s">
        <v>64</v>
      </c>
      <c r="L169" s="32" t="s">
        <v>478</v>
      </c>
      <c r="M169" s="30" t="n">
        <v>0</v>
      </c>
    </row>
    <row r="170" customFormat="false" ht="15" hidden="false" customHeight="false" outlineLevel="0" collapsed="false">
      <c r="A170" s="0" t="s">
        <v>479</v>
      </c>
      <c r="B170" s="0" t="s">
        <v>177</v>
      </c>
      <c r="C170" s="0" t="s">
        <v>73</v>
      </c>
      <c r="D170" s="0" t="s">
        <v>93</v>
      </c>
      <c r="E170" s="0" t="n">
        <v>28</v>
      </c>
      <c r="F170" s="30" t="n">
        <v>5572</v>
      </c>
      <c r="G170" s="31" t="n">
        <v>45254</v>
      </c>
      <c r="H170" s="31" t="n">
        <v>45493</v>
      </c>
      <c r="I170" s="0" t="n">
        <v>239</v>
      </c>
      <c r="J170" s="32" t="s">
        <v>33</v>
      </c>
      <c r="K170" s="32" t="s">
        <v>64</v>
      </c>
      <c r="L170" s="32" t="s">
        <v>480</v>
      </c>
      <c r="M170" s="30" t="n">
        <v>5572</v>
      </c>
    </row>
    <row r="171" customFormat="false" ht="15" hidden="false" customHeight="false" outlineLevel="0" collapsed="false">
      <c r="A171" s="0" t="s">
        <v>481</v>
      </c>
      <c r="B171" s="0" t="s">
        <v>482</v>
      </c>
      <c r="C171" s="0" t="s">
        <v>71</v>
      </c>
      <c r="D171" s="0" t="s">
        <v>93</v>
      </c>
      <c r="E171" s="0" t="n">
        <v>23</v>
      </c>
      <c r="F171" s="30" t="n">
        <v>437</v>
      </c>
      <c r="G171" s="31" t="n">
        <v>45551</v>
      </c>
      <c r="H171" s="31" t="n">
        <v>45577</v>
      </c>
      <c r="I171" s="0" t="n">
        <v>26</v>
      </c>
      <c r="J171" s="32" t="s">
        <v>34</v>
      </c>
      <c r="K171" s="32" t="s">
        <v>64</v>
      </c>
      <c r="L171" s="32" t="s">
        <v>483</v>
      </c>
      <c r="M171" s="30" t="n">
        <v>3773</v>
      </c>
    </row>
    <row r="172" customFormat="false" ht="15" hidden="false" customHeight="false" outlineLevel="0" collapsed="false">
      <c r="A172" s="0" t="s">
        <v>484</v>
      </c>
      <c r="B172" s="0" t="s">
        <v>485</v>
      </c>
      <c r="C172" s="0" t="s">
        <v>72</v>
      </c>
      <c r="D172" s="0" t="s">
        <v>93</v>
      </c>
      <c r="E172" s="0" t="n">
        <v>14</v>
      </c>
      <c r="F172" s="30" t="n">
        <v>686</v>
      </c>
      <c r="G172" s="31" t="n">
        <v>45620</v>
      </c>
      <c r="H172" s="31" t="n">
        <v>45620</v>
      </c>
      <c r="I172" s="0" t="n">
        <v>0</v>
      </c>
      <c r="J172" s="32" t="s">
        <v>34</v>
      </c>
      <c r="K172" s="32" t="s">
        <v>42</v>
      </c>
      <c r="M172" s="30" t="n">
        <v>0</v>
      </c>
    </row>
    <row r="173" customFormat="false" ht="15" hidden="false" customHeight="false" outlineLevel="0" collapsed="false">
      <c r="A173" s="0" t="s">
        <v>486</v>
      </c>
      <c r="B173" s="0" t="s">
        <v>142</v>
      </c>
      <c r="C173" s="0" t="s">
        <v>71</v>
      </c>
      <c r="D173" s="0" t="s">
        <v>93</v>
      </c>
      <c r="E173" s="0" t="n">
        <v>36</v>
      </c>
      <c r="F173" s="30" t="n">
        <v>684</v>
      </c>
      <c r="G173" s="31" t="n">
        <v>45611</v>
      </c>
      <c r="H173" s="31" t="n">
        <v>45615</v>
      </c>
      <c r="I173" s="0" t="n">
        <v>4</v>
      </c>
      <c r="J173" s="32" t="s">
        <v>34</v>
      </c>
      <c r="K173" s="32" t="s">
        <v>42</v>
      </c>
      <c r="M173" s="30" t="n">
        <v>0</v>
      </c>
    </row>
    <row r="174" customFormat="false" ht="15" hidden="false" customHeight="false" outlineLevel="0" collapsed="false">
      <c r="A174" s="0" t="s">
        <v>487</v>
      </c>
      <c r="B174" s="0" t="s">
        <v>310</v>
      </c>
      <c r="C174" s="0" t="s">
        <v>73</v>
      </c>
      <c r="D174" s="0" t="s">
        <v>93</v>
      </c>
      <c r="E174" s="0" t="n">
        <v>9</v>
      </c>
      <c r="F174" s="30" t="n">
        <v>1791</v>
      </c>
      <c r="G174" s="31" t="n">
        <v>45287</v>
      </c>
      <c r="H174" s="31" t="n">
        <v>45595</v>
      </c>
      <c r="I174" s="0" t="n">
        <v>308</v>
      </c>
      <c r="J174" s="32" t="s">
        <v>34</v>
      </c>
      <c r="K174" s="32" t="s">
        <v>43</v>
      </c>
      <c r="M174" s="30" t="n">
        <v>0</v>
      </c>
    </row>
    <row r="175" customFormat="false" ht="15" hidden="false" customHeight="false" outlineLevel="0" collapsed="false">
      <c r="A175" s="0" t="s">
        <v>488</v>
      </c>
      <c r="B175" s="0" t="s">
        <v>489</v>
      </c>
      <c r="C175" s="0" t="s">
        <v>71</v>
      </c>
      <c r="D175" s="0" t="s">
        <v>98</v>
      </c>
      <c r="E175" s="0" t="n">
        <v>23</v>
      </c>
      <c r="F175" s="30" t="n">
        <v>0</v>
      </c>
      <c r="G175" s="31" t="n">
        <v>45463</v>
      </c>
      <c r="H175" s="31" t="n">
        <v>45484</v>
      </c>
      <c r="I175" s="0" t="n">
        <v>21</v>
      </c>
      <c r="J175" s="32" t="s">
        <v>33</v>
      </c>
      <c r="K175" s="32" t="s">
        <v>43</v>
      </c>
      <c r="M175" s="30" t="n">
        <v>0</v>
      </c>
    </row>
    <row r="176" customFormat="false" ht="15" hidden="false" customHeight="false" outlineLevel="0" collapsed="false">
      <c r="A176" s="0" t="s">
        <v>490</v>
      </c>
      <c r="B176" s="0" t="s">
        <v>387</v>
      </c>
      <c r="C176" s="0" t="s">
        <v>71</v>
      </c>
      <c r="D176" s="0" t="s">
        <v>93</v>
      </c>
      <c r="E176" s="0" t="n">
        <v>26</v>
      </c>
      <c r="F176" s="30" t="n">
        <v>494</v>
      </c>
      <c r="G176" s="31" t="n">
        <v>44973</v>
      </c>
      <c r="H176" s="31" t="n">
        <v>45465</v>
      </c>
      <c r="I176" s="0" t="n">
        <v>492</v>
      </c>
      <c r="J176" s="32" t="s">
        <v>32</v>
      </c>
      <c r="K176" s="32" t="s">
        <v>43</v>
      </c>
      <c r="M176" s="30" t="n">
        <v>0</v>
      </c>
    </row>
    <row r="177" customFormat="false" ht="15" hidden="false" customHeight="false" outlineLevel="0" collapsed="false">
      <c r="A177" s="0" t="s">
        <v>491</v>
      </c>
      <c r="B177" s="0" t="s">
        <v>492</v>
      </c>
      <c r="C177" s="0" t="s">
        <v>72</v>
      </c>
      <c r="D177" s="0" t="s">
        <v>93</v>
      </c>
      <c r="E177" s="0" t="n">
        <v>49</v>
      </c>
      <c r="F177" s="30" t="n">
        <v>2401</v>
      </c>
      <c r="G177" s="31" t="n">
        <v>45253</v>
      </c>
      <c r="H177" s="31" t="n">
        <v>45573</v>
      </c>
      <c r="I177" s="0" t="n">
        <v>320</v>
      </c>
      <c r="J177" s="32" t="s">
        <v>34</v>
      </c>
      <c r="K177" s="32" t="s">
        <v>43</v>
      </c>
      <c r="M177" s="30" t="n">
        <v>0</v>
      </c>
    </row>
    <row r="178" customFormat="false" ht="15" hidden="false" customHeight="false" outlineLevel="0" collapsed="false">
      <c r="A178" s="0" t="s">
        <v>493</v>
      </c>
      <c r="B178" s="0" t="s">
        <v>494</v>
      </c>
      <c r="C178" s="0" t="s">
        <v>73</v>
      </c>
      <c r="D178" s="0" t="s">
        <v>93</v>
      </c>
      <c r="E178" s="0" t="n">
        <v>22</v>
      </c>
      <c r="F178" s="30" t="n">
        <v>4378</v>
      </c>
      <c r="G178" s="31" t="n">
        <v>45323</v>
      </c>
      <c r="H178" s="31" t="n">
        <v>45523</v>
      </c>
      <c r="I178" s="0" t="n">
        <v>200</v>
      </c>
      <c r="J178" s="32" t="s">
        <v>33</v>
      </c>
      <c r="K178" s="32" t="s">
        <v>43</v>
      </c>
      <c r="M178" s="30" t="n">
        <v>0</v>
      </c>
    </row>
    <row r="179" customFormat="false" ht="15" hidden="false" customHeight="false" outlineLevel="0" collapsed="false">
      <c r="A179" s="0" t="s">
        <v>495</v>
      </c>
      <c r="B179" s="0" t="s">
        <v>220</v>
      </c>
      <c r="C179" s="0" t="s">
        <v>73</v>
      </c>
      <c r="D179" s="0" t="s">
        <v>93</v>
      </c>
      <c r="E179" s="0" t="n">
        <v>16</v>
      </c>
      <c r="F179" s="30" t="n">
        <v>3184</v>
      </c>
      <c r="G179" s="31" t="n">
        <v>45173</v>
      </c>
      <c r="H179" s="31" t="n">
        <v>45424</v>
      </c>
      <c r="I179" s="0" t="n">
        <v>251</v>
      </c>
      <c r="J179" s="32" t="s">
        <v>32</v>
      </c>
      <c r="K179" s="32" t="s">
        <v>43</v>
      </c>
      <c r="M179" s="30" t="n">
        <v>0</v>
      </c>
    </row>
    <row r="180" customFormat="false" ht="15" hidden="false" customHeight="false" outlineLevel="0" collapsed="false">
      <c r="A180" s="0" t="s">
        <v>496</v>
      </c>
      <c r="B180" s="0" t="s">
        <v>497</v>
      </c>
      <c r="C180" s="0" t="s">
        <v>73</v>
      </c>
      <c r="D180" s="0" t="s">
        <v>93</v>
      </c>
      <c r="E180" s="0" t="n">
        <v>91</v>
      </c>
      <c r="F180" s="30" t="n">
        <v>18109</v>
      </c>
      <c r="G180" s="31" t="n">
        <v>45627</v>
      </c>
      <c r="H180" s="31" t="n">
        <v>45642</v>
      </c>
      <c r="I180" s="0" t="n">
        <v>15</v>
      </c>
      <c r="J180" s="32" t="s">
        <v>34</v>
      </c>
      <c r="K180" s="32" t="s">
        <v>64</v>
      </c>
      <c r="L180" s="32" t="s">
        <v>498</v>
      </c>
      <c r="M180" s="30" t="n">
        <v>3781</v>
      </c>
    </row>
    <row r="181" customFormat="false" ht="15" hidden="false" customHeight="false" outlineLevel="0" collapsed="false">
      <c r="A181" s="0" t="s">
        <v>175</v>
      </c>
      <c r="B181" s="0" t="s">
        <v>174</v>
      </c>
      <c r="C181" s="0" t="s">
        <v>72</v>
      </c>
      <c r="D181" s="0" t="s">
        <v>93</v>
      </c>
      <c r="E181" s="0" t="n">
        <v>87</v>
      </c>
      <c r="F181" s="30" t="n">
        <v>4263</v>
      </c>
      <c r="G181" s="31" t="n">
        <v>45502</v>
      </c>
      <c r="H181" s="31" t="n">
        <v>45554</v>
      </c>
      <c r="I181" s="0" t="n">
        <v>52</v>
      </c>
      <c r="J181" s="32" t="s">
        <v>33</v>
      </c>
      <c r="K181" s="32" t="s">
        <v>64</v>
      </c>
      <c r="L181" s="32" t="s">
        <v>499</v>
      </c>
      <c r="M181" s="30" t="n">
        <v>17313</v>
      </c>
    </row>
    <row r="182" customFormat="false" ht="15" hidden="false" customHeight="false" outlineLevel="0" collapsed="false">
      <c r="A182" s="0" t="s">
        <v>500</v>
      </c>
      <c r="B182" s="0" t="s">
        <v>501</v>
      </c>
      <c r="C182" s="0" t="s">
        <v>73</v>
      </c>
      <c r="D182" s="0" t="s">
        <v>93</v>
      </c>
      <c r="E182" s="0" t="n">
        <v>8</v>
      </c>
      <c r="F182" s="30" t="n">
        <v>1592</v>
      </c>
      <c r="G182" s="31" t="n">
        <v>45652</v>
      </c>
      <c r="H182" s="31" t="n">
        <v>45655</v>
      </c>
      <c r="I182" s="0" t="n">
        <v>3</v>
      </c>
      <c r="J182" s="32" t="s">
        <v>34</v>
      </c>
      <c r="K182" s="32" t="s">
        <v>64</v>
      </c>
      <c r="L182" s="32" t="s">
        <v>502</v>
      </c>
      <c r="M182" s="30" t="n">
        <v>627</v>
      </c>
    </row>
    <row r="183" customFormat="false" ht="15" hidden="false" customHeight="false" outlineLevel="0" collapsed="false">
      <c r="A183" s="0" t="s">
        <v>503</v>
      </c>
      <c r="B183" s="0" t="s">
        <v>504</v>
      </c>
      <c r="C183" s="0" t="s">
        <v>72</v>
      </c>
      <c r="D183" s="0" t="s">
        <v>98</v>
      </c>
      <c r="E183" s="0" t="n">
        <v>45</v>
      </c>
      <c r="F183" s="30" t="n">
        <v>0</v>
      </c>
      <c r="G183" s="31" t="n">
        <v>45550</v>
      </c>
      <c r="H183" s="31" t="n">
        <v>45593</v>
      </c>
      <c r="I183" s="0" t="n">
        <v>43</v>
      </c>
      <c r="J183" s="32" t="s">
        <v>34</v>
      </c>
      <c r="K183" s="32" t="s">
        <v>64</v>
      </c>
      <c r="L183" s="32" t="s">
        <v>505</v>
      </c>
      <c r="M183" s="30" t="n">
        <v>8955</v>
      </c>
    </row>
    <row r="184" customFormat="false" ht="15" hidden="false" customHeight="false" outlineLevel="0" collapsed="false">
      <c r="A184" s="0" t="s">
        <v>506</v>
      </c>
      <c r="B184" s="0" t="s">
        <v>507</v>
      </c>
      <c r="C184" s="0" t="s">
        <v>72</v>
      </c>
      <c r="D184" s="0" t="s">
        <v>93</v>
      </c>
      <c r="E184" s="0" t="n">
        <v>4</v>
      </c>
      <c r="F184" s="30" t="n">
        <v>196</v>
      </c>
      <c r="G184" s="31" t="n">
        <v>45013</v>
      </c>
      <c r="H184" s="31" t="n">
        <v>45460</v>
      </c>
      <c r="I184" s="0" t="n">
        <v>447</v>
      </c>
      <c r="J184" s="32" t="s">
        <v>32</v>
      </c>
      <c r="K184" s="32" t="s">
        <v>43</v>
      </c>
      <c r="M184" s="30" t="n">
        <v>0</v>
      </c>
    </row>
    <row r="185" customFormat="false" ht="15" hidden="false" customHeight="false" outlineLevel="0" collapsed="false">
      <c r="A185" s="0" t="s">
        <v>508</v>
      </c>
      <c r="B185" s="0" t="s">
        <v>509</v>
      </c>
      <c r="C185" s="0" t="s">
        <v>71</v>
      </c>
      <c r="D185" s="0" t="s">
        <v>98</v>
      </c>
      <c r="E185" s="0" t="n">
        <v>23</v>
      </c>
      <c r="F185" s="30" t="n">
        <v>0</v>
      </c>
      <c r="G185" s="31" t="n">
        <v>45489</v>
      </c>
      <c r="H185" s="31" t="n">
        <v>45540</v>
      </c>
      <c r="I185" s="0" t="n">
        <v>51</v>
      </c>
      <c r="J185" s="32" t="s">
        <v>33</v>
      </c>
      <c r="K185" s="32" t="s">
        <v>43</v>
      </c>
      <c r="M185" s="30" t="n">
        <v>0</v>
      </c>
    </row>
    <row r="186" customFormat="false" ht="15" hidden="false" customHeight="false" outlineLevel="0" collapsed="false">
      <c r="A186" s="0" t="s">
        <v>510</v>
      </c>
      <c r="B186" s="0" t="s">
        <v>511</v>
      </c>
      <c r="C186" s="0" t="s">
        <v>73</v>
      </c>
      <c r="D186" s="0" t="s">
        <v>93</v>
      </c>
      <c r="E186" s="0" t="n">
        <v>12</v>
      </c>
      <c r="F186" s="30" t="n">
        <v>2388</v>
      </c>
      <c r="G186" s="31" t="n">
        <v>45649</v>
      </c>
      <c r="H186" s="31" t="n">
        <v>45655</v>
      </c>
      <c r="I186" s="0" t="n">
        <v>6</v>
      </c>
      <c r="J186" s="32" t="s">
        <v>34</v>
      </c>
      <c r="K186" s="32" t="s">
        <v>64</v>
      </c>
      <c r="L186" s="32" t="s">
        <v>512</v>
      </c>
      <c r="M186" s="30" t="n">
        <v>551</v>
      </c>
    </row>
    <row r="187" customFormat="false" ht="15" hidden="false" customHeight="false" outlineLevel="0" collapsed="false">
      <c r="A187" s="0" t="s">
        <v>513</v>
      </c>
      <c r="B187" s="0" t="s">
        <v>181</v>
      </c>
      <c r="C187" s="0" t="s">
        <v>73</v>
      </c>
      <c r="D187" s="0" t="s">
        <v>93</v>
      </c>
      <c r="E187" s="0" t="n">
        <v>25</v>
      </c>
      <c r="F187" s="30" t="n">
        <v>4975</v>
      </c>
      <c r="G187" s="31" t="n">
        <v>45550</v>
      </c>
      <c r="H187" s="31" t="n">
        <v>45650</v>
      </c>
      <c r="I187" s="0" t="n">
        <v>100</v>
      </c>
      <c r="J187" s="32" t="s">
        <v>34</v>
      </c>
      <c r="K187" s="32" t="s">
        <v>43</v>
      </c>
      <c r="M187" s="30" t="n">
        <v>0</v>
      </c>
    </row>
    <row r="188" customFormat="false" ht="15" hidden="false" customHeight="false" outlineLevel="0" collapsed="false">
      <c r="A188" s="0" t="s">
        <v>514</v>
      </c>
      <c r="B188" s="0" t="s">
        <v>515</v>
      </c>
      <c r="C188" s="0" t="s">
        <v>71</v>
      </c>
      <c r="D188" s="0" t="s">
        <v>93</v>
      </c>
      <c r="E188" s="0" t="n">
        <v>29</v>
      </c>
      <c r="F188" s="30" t="n">
        <v>551</v>
      </c>
      <c r="G188" s="31" t="n">
        <v>45522</v>
      </c>
      <c r="H188" s="31" t="n">
        <v>45549</v>
      </c>
      <c r="I188" s="0" t="n">
        <v>27</v>
      </c>
      <c r="J188" s="32" t="s">
        <v>33</v>
      </c>
      <c r="K188" s="32" t="s">
        <v>64</v>
      </c>
      <c r="L188" s="32" t="s">
        <v>516</v>
      </c>
      <c r="M188" s="30" t="n">
        <v>490</v>
      </c>
    </row>
    <row r="189" customFormat="false" ht="15" hidden="false" customHeight="false" outlineLevel="0" collapsed="false">
      <c r="A189" s="0" t="s">
        <v>517</v>
      </c>
      <c r="B189" s="0" t="s">
        <v>518</v>
      </c>
      <c r="C189" s="0" t="s">
        <v>72</v>
      </c>
      <c r="D189" s="0" t="s">
        <v>93</v>
      </c>
      <c r="E189" s="0" t="n">
        <v>41</v>
      </c>
      <c r="F189" s="30" t="n">
        <v>2009</v>
      </c>
      <c r="G189" s="31" t="n">
        <v>45626</v>
      </c>
      <c r="H189" s="31" t="n">
        <v>45647</v>
      </c>
      <c r="I189" s="0" t="n">
        <v>21</v>
      </c>
      <c r="J189" s="32" t="s">
        <v>34</v>
      </c>
      <c r="K189" s="32" t="s">
        <v>64</v>
      </c>
      <c r="L189" s="32" t="s">
        <v>519</v>
      </c>
      <c r="M189" s="30" t="n">
        <v>637</v>
      </c>
    </row>
    <row r="190" customFormat="false" ht="15" hidden="false" customHeight="false" outlineLevel="0" collapsed="false">
      <c r="A190" s="0" t="s">
        <v>520</v>
      </c>
      <c r="B190" s="0" t="s">
        <v>337</v>
      </c>
      <c r="C190" s="0" t="s">
        <v>71</v>
      </c>
      <c r="D190" s="0" t="s">
        <v>98</v>
      </c>
      <c r="E190" s="0" t="n">
        <v>19</v>
      </c>
      <c r="F190" s="30" t="n">
        <v>0</v>
      </c>
      <c r="G190" s="31" t="n">
        <v>45117</v>
      </c>
      <c r="H190" s="31" t="n">
        <v>45488</v>
      </c>
      <c r="I190" s="0" t="n">
        <v>371</v>
      </c>
      <c r="J190" s="32" t="s">
        <v>33</v>
      </c>
      <c r="K190" s="32" t="s">
        <v>43</v>
      </c>
      <c r="M190" s="30" t="n">
        <v>0</v>
      </c>
    </row>
    <row r="191" customFormat="false" ht="15" hidden="false" customHeight="false" outlineLevel="0" collapsed="false">
      <c r="A191" s="0" t="s">
        <v>521</v>
      </c>
      <c r="B191" s="0" t="s">
        <v>522</v>
      </c>
      <c r="C191" s="0" t="s">
        <v>71</v>
      </c>
      <c r="D191" s="0" t="s">
        <v>93</v>
      </c>
      <c r="E191" s="0" t="n">
        <v>24</v>
      </c>
      <c r="F191" s="30" t="n">
        <v>456</v>
      </c>
      <c r="G191" s="31" t="n">
        <v>45447</v>
      </c>
      <c r="H191" s="31" t="n">
        <v>45514</v>
      </c>
      <c r="I191" s="0" t="n">
        <v>67</v>
      </c>
      <c r="J191" s="32" t="s">
        <v>33</v>
      </c>
      <c r="K191" s="32" t="s">
        <v>64</v>
      </c>
      <c r="L191" s="32" t="s">
        <v>523</v>
      </c>
      <c r="M191" s="30" t="n">
        <v>475</v>
      </c>
    </row>
    <row r="192" customFormat="false" ht="15" hidden="false" customHeight="false" outlineLevel="0" collapsed="false">
      <c r="A192" s="0" t="s">
        <v>524</v>
      </c>
      <c r="B192" s="0" t="s">
        <v>525</v>
      </c>
      <c r="C192" s="0" t="s">
        <v>72</v>
      </c>
      <c r="D192" s="0" t="s">
        <v>98</v>
      </c>
      <c r="E192" s="0" t="n">
        <v>16</v>
      </c>
      <c r="F192" s="30" t="n">
        <v>0</v>
      </c>
      <c r="G192" s="31" t="n">
        <v>45647</v>
      </c>
      <c r="H192" s="31" t="n">
        <v>45649</v>
      </c>
      <c r="I192" s="0" t="n">
        <v>2</v>
      </c>
      <c r="J192" s="32" t="s">
        <v>34</v>
      </c>
      <c r="K192" s="32" t="s">
        <v>64</v>
      </c>
      <c r="L192" s="32" t="s">
        <v>526</v>
      </c>
      <c r="M192" s="30" t="n">
        <v>784</v>
      </c>
    </row>
    <row r="193" customFormat="false" ht="15" hidden="false" customHeight="false" outlineLevel="0" collapsed="false">
      <c r="A193" s="0" t="s">
        <v>527</v>
      </c>
      <c r="B193" s="0" t="s">
        <v>528</v>
      </c>
      <c r="C193" s="0" t="s">
        <v>72</v>
      </c>
      <c r="D193" s="0" t="s">
        <v>98</v>
      </c>
      <c r="E193" s="0" t="n">
        <v>69</v>
      </c>
      <c r="F193" s="30" t="n">
        <v>0</v>
      </c>
      <c r="G193" s="31" t="n">
        <v>45634</v>
      </c>
      <c r="H193" s="31" t="n">
        <v>45654</v>
      </c>
      <c r="I193" s="0" t="n">
        <v>20</v>
      </c>
      <c r="J193" s="32" t="s">
        <v>34</v>
      </c>
      <c r="K193" s="32" t="s">
        <v>64</v>
      </c>
      <c r="L193" s="32" t="s">
        <v>529</v>
      </c>
      <c r="M193" s="30" t="n">
        <v>3381</v>
      </c>
    </row>
    <row r="194" customFormat="false" ht="15" hidden="false" customHeight="false" outlineLevel="0" collapsed="false">
      <c r="A194" s="0" t="s">
        <v>530</v>
      </c>
      <c r="B194" s="0" t="s">
        <v>289</v>
      </c>
      <c r="C194" s="0" t="s">
        <v>72</v>
      </c>
      <c r="D194" s="0" t="s">
        <v>93</v>
      </c>
      <c r="E194" s="0" t="n">
        <v>45</v>
      </c>
      <c r="F194" s="30" t="n">
        <v>2205</v>
      </c>
      <c r="G194" s="31" t="n">
        <v>45322</v>
      </c>
      <c r="H194" s="31" t="n">
        <v>45476</v>
      </c>
      <c r="I194" s="0" t="n">
        <v>154</v>
      </c>
      <c r="J194" s="32" t="s">
        <v>33</v>
      </c>
      <c r="K194" s="32" t="s">
        <v>43</v>
      </c>
      <c r="M194" s="30" t="n">
        <v>0</v>
      </c>
    </row>
    <row r="195" customFormat="false" ht="15" hidden="false" customHeight="false" outlineLevel="0" collapsed="false">
      <c r="A195" s="0" t="s">
        <v>531</v>
      </c>
      <c r="B195" s="0" t="s">
        <v>532</v>
      </c>
      <c r="C195" s="0" t="s">
        <v>73</v>
      </c>
      <c r="D195" s="0" t="s">
        <v>93</v>
      </c>
      <c r="E195" s="0" t="n">
        <v>57</v>
      </c>
      <c r="F195" s="30" t="n">
        <v>11343</v>
      </c>
      <c r="G195" s="31" t="n">
        <v>45344</v>
      </c>
      <c r="H195" s="31" t="n">
        <v>45360</v>
      </c>
      <c r="I195" s="0" t="n">
        <v>16</v>
      </c>
      <c r="J195" s="32" t="s">
        <v>31</v>
      </c>
      <c r="K195" s="32" t="s">
        <v>64</v>
      </c>
      <c r="L195" s="32" t="s">
        <v>533</v>
      </c>
      <c r="M195" s="30" t="n">
        <v>76</v>
      </c>
    </row>
    <row r="196" customFormat="false" ht="15" hidden="false" customHeight="false" outlineLevel="0" collapsed="false">
      <c r="A196" s="0" t="s">
        <v>534</v>
      </c>
      <c r="B196" s="0" t="s">
        <v>535</v>
      </c>
      <c r="C196" s="0" t="s">
        <v>73</v>
      </c>
      <c r="D196" s="0" t="s">
        <v>93</v>
      </c>
      <c r="E196" s="0" t="n">
        <v>43</v>
      </c>
      <c r="F196" s="30" t="n">
        <v>8557</v>
      </c>
      <c r="G196" s="31" t="n">
        <v>45474</v>
      </c>
      <c r="H196" s="31" t="n">
        <v>45608</v>
      </c>
      <c r="I196" s="0" t="n">
        <v>134</v>
      </c>
      <c r="J196" s="32" t="s">
        <v>34</v>
      </c>
      <c r="K196" s="32" t="s">
        <v>64</v>
      </c>
      <c r="L196" s="32" t="s">
        <v>536</v>
      </c>
      <c r="M196" s="30" t="n">
        <v>1029</v>
      </c>
    </row>
    <row r="197" customFormat="false" ht="15" hidden="false" customHeight="false" outlineLevel="0" collapsed="false">
      <c r="A197" s="0" t="s">
        <v>537</v>
      </c>
      <c r="B197" s="0" t="s">
        <v>538</v>
      </c>
      <c r="C197" s="0" t="s">
        <v>71</v>
      </c>
      <c r="D197" s="0" t="s">
        <v>93</v>
      </c>
      <c r="E197" s="0" t="n">
        <v>47</v>
      </c>
      <c r="F197" s="30" t="n">
        <v>893</v>
      </c>
      <c r="G197" s="31" t="n">
        <v>45284</v>
      </c>
      <c r="H197" s="31" t="n">
        <v>45600</v>
      </c>
      <c r="I197" s="0" t="n">
        <v>316</v>
      </c>
      <c r="J197" s="32" t="s">
        <v>34</v>
      </c>
      <c r="K197" s="32" t="s">
        <v>43</v>
      </c>
      <c r="M197" s="30" t="n">
        <v>0</v>
      </c>
    </row>
    <row r="198" customFormat="false" ht="15" hidden="false" customHeight="false" outlineLevel="0" collapsed="false">
      <c r="A198" s="0" t="s">
        <v>539</v>
      </c>
      <c r="B198" s="0" t="s">
        <v>540</v>
      </c>
      <c r="C198" s="0" t="s">
        <v>71</v>
      </c>
      <c r="D198" s="0" t="s">
        <v>93</v>
      </c>
      <c r="E198" s="0" t="n">
        <v>58</v>
      </c>
      <c r="F198" s="30" t="n">
        <v>1102</v>
      </c>
      <c r="G198" s="31" t="n">
        <v>45464</v>
      </c>
      <c r="H198" s="31" t="n">
        <v>45564</v>
      </c>
      <c r="I198" s="0" t="n">
        <v>100</v>
      </c>
      <c r="J198" s="32" t="s">
        <v>33</v>
      </c>
      <c r="K198" s="32" t="s">
        <v>43</v>
      </c>
      <c r="M198" s="30" t="n">
        <v>0</v>
      </c>
    </row>
    <row r="199" customFormat="false" ht="15" hidden="false" customHeight="false" outlineLevel="0" collapsed="false">
      <c r="A199" s="0" t="s">
        <v>541</v>
      </c>
      <c r="B199" s="0" t="s">
        <v>542</v>
      </c>
      <c r="C199" s="0" t="s">
        <v>71</v>
      </c>
      <c r="D199" s="0" t="s">
        <v>98</v>
      </c>
      <c r="E199" s="0" t="n">
        <v>10</v>
      </c>
      <c r="F199" s="30" t="n">
        <v>0</v>
      </c>
      <c r="G199" s="31" t="n">
        <v>45412</v>
      </c>
      <c r="H199" s="31" t="n">
        <v>45541</v>
      </c>
      <c r="I199" s="0" t="n">
        <v>129</v>
      </c>
      <c r="J199" s="32" t="s">
        <v>33</v>
      </c>
      <c r="K199" s="32" t="s">
        <v>43</v>
      </c>
      <c r="M199" s="30" t="n">
        <v>0</v>
      </c>
    </row>
    <row r="200" customFormat="false" ht="15" hidden="false" customHeight="false" outlineLevel="0" collapsed="false">
      <c r="A200" s="0" t="s">
        <v>543</v>
      </c>
      <c r="B200" s="0" t="s">
        <v>544</v>
      </c>
      <c r="C200" s="0" t="s">
        <v>73</v>
      </c>
      <c r="D200" s="0" t="s">
        <v>93</v>
      </c>
      <c r="E200" s="0" t="n">
        <v>16</v>
      </c>
      <c r="F200" s="30" t="n">
        <v>3184</v>
      </c>
      <c r="G200" s="31" t="n">
        <v>45302</v>
      </c>
      <c r="H200" s="31" t="n">
        <v>45307</v>
      </c>
      <c r="I200" s="0" t="n">
        <v>5</v>
      </c>
      <c r="J200" s="32" t="s">
        <v>31</v>
      </c>
      <c r="K200" s="32" t="s">
        <v>44</v>
      </c>
      <c r="M200" s="30" t="n">
        <v>0</v>
      </c>
    </row>
    <row r="201" customFormat="false" ht="15" hidden="false" customHeight="false" outlineLevel="0" collapsed="false">
      <c r="A201" s="0" t="s">
        <v>545</v>
      </c>
      <c r="B201" s="0" t="s">
        <v>546</v>
      </c>
      <c r="C201" s="0" t="s">
        <v>72</v>
      </c>
      <c r="D201" s="0" t="s">
        <v>93</v>
      </c>
      <c r="E201" s="0" t="n">
        <v>50</v>
      </c>
      <c r="F201" s="30" t="n">
        <v>2450</v>
      </c>
      <c r="G201" s="31" t="n">
        <v>45643</v>
      </c>
      <c r="H201" s="31" t="n">
        <v>45643</v>
      </c>
      <c r="I201" s="0" t="n">
        <v>0</v>
      </c>
      <c r="J201" s="32" t="s">
        <v>34</v>
      </c>
      <c r="K201" s="32" t="s">
        <v>64</v>
      </c>
      <c r="L201" s="32" t="s">
        <v>547</v>
      </c>
      <c r="M201" s="30" t="n">
        <v>950</v>
      </c>
    </row>
    <row r="202" customFormat="false" ht="15" hidden="false" customHeight="false" outlineLevel="0" collapsed="false">
      <c r="A202" s="0" t="s">
        <v>548</v>
      </c>
      <c r="B202" s="0" t="s">
        <v>549</v>
      </c>
      <c r="C202" s="0" t="s">
        <v>73</v>
      </c>
      <c r="D202" s="0" t="s">
        <v>93</v>
      </c>
      <c r="E202" s="0" t="n">
        <v>12</v>
      </c>
      <c r="F202" s="30" t="n">
        <v>2388</v>
      </c>
      <c r="G202" s="31" t="n">
        <v>45543</v>
      </c>
      <c r="H202" s="31" t="n">
        <v>45641</v>
      </c>
      <c r="I202" s="0" t="n">
        <v>98</v>
      </c>
      <c r="J202" s="32" t="s">
        <v>34</v>
      </c>
      <c r="K202" s="32" t="s">
        <v>64</v>
      </c>
      <c r="L202" s="32" t="s">
        <v>550</v>
      </c>
      <c r="M202" s="30" t="n">
        <v>665</v>
      </c>
    </row>
    <row r="203" customFormat="false" ht="15" hidden="false" customHeight="false" outlineLevel="0" collapsed="false">
      <c r="A203" s="0" t="s">
        <v>551</v>
      </c>
      <c r="B203" s="0" t="s">
        <v>466</v>
      </c>
      <c r="C203" s="0" t="s">
        <v>71</v>
      </c>
      <c r="D203" s="0" t="s">
        <v>93</v>
      </c>
      <c r="E203" s="0" t="n">
        <v>9</v>
      </c>
      <c r="F203" s="30" t="n">
        <v>171</v>
      </c>
      <c r="G203" s="31" t="n">
        <v>45575</v>
      </c>
      <c r="H203" s="31" t="n">
        <v>45629</v>
      </c>
      <c r="I203" s="0" t="n">
        <v>54</v>
      </c>
      <c r="J203" s="32" t="s">
        <v>34</v>
      </c>
      <c r="K203" s="32" t="s">
        <v>43</v>
      </c>
      <c r="M203" s="30" t="n">
        <v>0</v>
      </c>
    </row>
    <row r="204" customFormat="false" ht="15" hidden="false" customHeight="false" outlineLevel="0" collapsed="false">
      <c r="A204" s="0" t="s">
        <v>552</v>
      </c>
      <c r="B204" s="0" t="s">
        <v>553</v>
      </c>
      <c r="C204" s="0" t="s">
        <v>73</v>
      </c>
      <c r="D204" s="0" t="s">
        <v>93</v>
      </c>
      <c r="E204" s="0" t="n">
        <v>9</v>
      </c>
      <c r="F204" s="30" t="n">
        <v>1791</v>
      </c>
      <c r="G204" s="31" t="n">
        <v>45624</v>
      </c>
      <c r="H204" s="31" t="n">
        <v>45652</v>
      </c>
      <c r="I204" s="0" t="n">
        <v>28</v>
      </c>
      <c r="J204" s="32" t="s">
        <v>34</v>
      </c>
      <c r="K204" s="32" t="s">
        <v>64</v>
      </c>
      <c r="L204" s="32" t="s">
        <v>554</v>
      </c>
      <c r="M204" s="30" t="n">
        <v>247</v>
      </c>
    </row>
    <row r="205" customFormat="false" ht="15" hidden="false" customHeight="false" outlineLevel="0" collapsed="false">
      <c r="A205" s="0" t="s">
        <v>555</v>
      </c>
      <c r="B205" s="0" t="s">
        <v>556</v>
      </c>
      <c r="C205" s="0" t="s">
        <v>71</v>
      </c>
      <c r="D205" s="0" t="s">
        <v>93</v>
      </c>
      <c r="E205" s="0" t="n">
        <v>27</v>
      </c>
      <c r="F205" s="30" t="n">
        <v>513</v>
      </c>
      <c r="G205" s="31" t="n">
        <v>45641</v>
      </c>
      <c r="H205" s="31" t="n">
        <v>45647</v>
      </c>
      <c r="I205" s="0" t="n">
        <v>6</v>
      </c>
      <c r="J205" s="32" t="s">
        <v>34</v>
      </c>
      <c r="K205" s="32" t="s">
        <v>64</v>
      </c>
      <c r="L205" s="32" t="s">
        <v>557</v>
      </c>
      <c r="M205" s="30" t="n">
        <v>931</v>
      </c>
    </row>
    <row r="206" customFormat="false" ht="15" hidden="false" customHeight="false" outlineLevel="0" collapsed="false">
      <c r="A206" s="0" t="s">
        <v>558</v>
      </c>
      <c r="B206" s="0" t="s">
        <v>532</v>
      </c>
      <c r="C206" s="0" t="s">
        <v>73</v>
      </c>
      <c r="D206" s="0" t="s">
        <v>93</v>
      </c>
      <c r="E206" s="0" t="n">
        <v>16</v>
      </c>
      <c r="F206" s="30" t="n">
        <v>3184</v>
      </c>
      <c r="G206" s="31" t="n">
        <v>45490</v>
      </c>
      <c r="H206" s="31" t="n">
        <v>45595</v>
      </c>
      <c r="I206" s="0" t="n">
        <v>105</v>
      </c>
      <c r="J206" s="32" t="s">
        <v>34</v>
      </c>
      <c r="K206" s="32" t="s">
        <v>43</v>
      </c>
      <c r="M206" s="30" t="n">
        <v>0</v>
      </c>
    </row>
    <row r="207" customFormat="false" ht="15" hidden="false" customHeight="false" outlineLevel="0" collapsed="false">
      <c r="A207" s="0" t="s">
        <v>559</v>
      </c>
      <c r="B207" s="0" t="s">
        <v>560</v>
      </c>
      <c r="C207" s="0" t="s">
        <v>72</v>
      </c>
      <c r="D207" s="0" t="s">
        <v>93</v>
      </c>
      <c r="E207" s="0" t="n">
        <v>36</v>
      </c>
      <c r="F207" s="30" t="n">
        <v>1764</v>
      </c>
      <c r="G207" s="31" t="n">
        <v>45653</v>
      </c>
      <c r="H207" s="31" t="n">
        <v>45654</v>
      </c>
      <c r="I207" s="0" t="n">
        <v>1</v>
      </c>
      <c r="J207" s="32" t="s">
        <v>34</v>
      </c>
      <c r="K207" s="32" t="s">
        <v>42</v>
      </c>
      <c r="M207" s="30" t="n">
        <v>0</v>
      </c>
    </row>
    <row r="208" customFormat="false" ht="15" hidden="false" customHeight="false" outlineLevel="0" collapsed="false">
      <c r="A208" s="0" t="s">
        <v>561</v>
      </c>
      <c r="B208" s="0" t="s">
        <v>562</v>
      </c>
      <c r="C208" s="0" t="s">
        <v>71</v>
      </c>
      <c r="D208" s="0" t="s">
        <v>93</v>
      </c>
      <c r="E208" s="0" t="n">
        <v>20</v>
      </c>
      <c r="F208" s="30" t="n">
        <v>380</v>
      </c>
      <c r="G208" s="31" t="n">
        <v>45643</v>
      </c>
      <c r="H208" s="31" t="n">
        <v>45651</v>
      </c>
      <c r="I208" s="0" t="n">
        <v>8</v>
      </c>
      <c r="J208" s="32" t="s">
        <v>34</v>
      </c>
      <c r="K208" s="32" t="s">
        <v>42</v>
      </c>
      <c r="M208" s="30" t="n">
        <v>0</v>
      </c>
    </row>
    <row r="209" customFormat="false" ht="15" hidden="false" customHeight="false" outlineLevel="0" collapsed="false">
      <c r="A209" s="0" t="s">
        <v>230</v>
      </c>
      <c r="B209" s="0" t="s">
        <v>229</v>
      </c>
      <c r="C209" s="0" t="s">
        <v>72</v>
      </c>
      <c r="D209" s="0" t="s">
        <v>93</v>
      </c>
      <c r="E209" s="0" t="n">
        <v>13</v>
      </c>
      <c r="F209" s="30" t="n">
        <v>637</v>
      </c>
      <c r="G209" s="31" t="n">
        <v>45637</v>
      </c>
      <c r="H209" s="31" t="n">
        <v>45641</v>
      </c>
      <c r="I209" s="0" t="n">
        <v>4</v>
      </c>
      <c r="J209" s="32" t="s">
        <v>34</v>
      </c>
      <c r="K209" s="32" t="s">
        <v>42</v>
      </c>
      <c r="M209" s="30" t="n">
        <v>0</v>
      </c>
    </row>
    <row r="210" customFormat="false" ht="15" hidden="false" customHeight="false" outlineLevel="0" collapsed="false">
      <c r="A210" s="0" t="s">
        <v>563</v>
      </c>
      <c r="B210" s="0" t="s">
        <v>564</v>
      </c>
      <c r="C210" s="0" t="s">
        <v>73</v>
      </c>
      <c r="D210" s="0" t="s">
        <v>93</v>
      </c>
      <c r="E210" s="0" t="n">
        <v>31</v>
      </c>
      <c r="F210" s="30" t="n">
        <v>6169</v>
      </c>
      <c r="G210" s="31" t="n">
        <v>45348</v>
      </c>
      <c r="H210" s="31" t="n">
        <v>45491</v>
      </c>
      <c r="I210" s="0" t="n">
        <v>143</v>
      </c>
      <c r="J210" s="32" t="s">
        <v>33</v>
      </c>
      <c r="K210" s="32" t="s">
        <v>43</v>
      </c>
      <c r="M210" s="30" t="n">
        <v>0</v>
      </c>
    </row>
    <row r="211" customFormat="false" ht="15" hidden="false" customHeight="false" outlineLevel="0" collapsed="false">
      <c r="A211" s="0" t="s">
        <v>565</v>
      </c>
      <c r="B211" s="0" t="s">
        <v>566</v>
      </c>
      <c r="C211" s="0" t="s">
        <v>72</v>
      </c>
      <c r="D211" s="0" t="s">
        <v>93</v>
      </c>
      <c r="E211" s="0" t="n">
        <v>11</v>
      </c>
      <c r="F211" s="30" t="n">
        <v>539</v>
      </c>
      <c r="G211" s="31" t="n">
        <v>45442</v>
      </c>
      <c r="H211" s="31" t="n">
        <v>45638</v>
      </c>
      <c r="I211" s="0" t="n">
        <v>196</v>
      </c>
      <c r="J211" s="32" t="s">
        <v>34</v>
      </c>
      <c r="K211" s="32" t="s">
        <v>64</v>
      </c>
      <c r="L211" s="32" t="s">
        <v>567</v>
      </c>
      <c r="M211" s="30" t="n">
        <v>7562</v>
      </c>
    </row>
    <row r="212" customFormat="false" ht="15" hidden="false" customHeight="false" outlineLevel="0" collapsed="false">
      <c r="A212" s="0" t="s">
        <v>568</v>
      </c>
      <c r="B212" s="0" t="s">
        <v>569</v>
      </c>
      <c r="C212" s="0" t="s">
        <v>73</v>
      </c>
      <c r="D212" s="0" t="s">
        <v>93</v>
      </c>
      <c r="E212" s="0" t="n">
        <v>23</v>
      </c>
      <c r="F212" s="30" t="n">
        <v>4577</v>
      </c>
      <c r="G212" s="31" t="n">
        <v>45586</v>
      </c>
      <c r="H212" s="31" t="n">
        <v>45614</v>
      </c>
      <c r="I212" s="0" t="n">
        <v>28</v>
      </c>
      <c r="J212" s="32" t="s">
        <v>34</v>
      </c>
      <c r="K212" s="32" t="s">
        <v>64</v>
      </c>
      <c r="L212" s="32" t="s">
        <v>570</v>
      </c>
      <c r="M212" s="30" t="n">
        <v>0</v>
      </c>
    </row>
    <row r="213" customFormat="false" ht="15" hidden="false" customHeight="false" outlineLevel="0" collapsed="false">
      <c r="A213" s="0" t="s">
        <v>571</v>
      </c>
      <c r="B213" s="0" t="s">
        <v>192</v>
      </c>
      <c r="C213" s="0" t="s">
        <v>73</v>
      </c>
      <c r="D213" s="0" t="s">
        <v>93</v>
      </c>
      <c r="E213" s="0" t="n">
        <v>10</v>
      </c>
      <c r="F213" s="30" t="n">
        <v>1990</v>
      </c>
      <c r="G213" s="31" t="n">
        <v>45178</v>
      </c>
      <c r="H213" s="31" t="n">
        <v>45656</v>
      </c>
      <c r="I213" s="0" t="n">
        <v>478</v>
      </c>
      <c r="J213" s="32" t="s">
        <v>34</v>
      </c>
      <c r="K213" s="32" t="s">
        <v>43</v>
      </c>
      <c r="M213" s="30" t="n">
        <v>0</v>
      </c>
    </row>
    <row r="214" customFormat="false" ht="15" hidden="false" customHeight="false" outlineLevel="0" collapsed="false">
      <c r="A214" s="0" t="s">
        <v>572</v>
      </c>
      <c r="B214" s="0" t="s">
        <v>573</v>
      </c>
      <c r="C214" s="0" t="s">
        <v>73</v>
      </c>
      <c r="D214" s="0" t="s">
        <v>93</v>
      </c>
      <c r="E214" s="0" t="n">
        <v>7</v>
      </c>
      <c r="F214" s="30" t="n">
        <v>1393</v>
      </c>
      <c r="G214" s="31" t="n">
        <v>45568</v>
      </c>
      <c r="H214" s="31" t="n">
        <v>45623</v>
      </c>
      <c r="I214" s="0" t="n">
        <v>55</v>
      </c>
      <c r="J214" s="32" t="s">
        <v>34</v>
      </c>
      <c r="K214" s="32" t="s">
        <v>43</v>
      </c>
      <c r="M214" s="30" t="n">
        <v>0</v>
      </c>
    </row>
    <row r="215" customFormat="false" ht="15" hidden="false" customHeight="false" outlineLevel="0" collapsed="false">
      <c r="A215" s="0" t="s">
        <v>574</v>
      </c>
      <c r="B215" s="0" t="s">
        <v>575</v>
      </c>
      <c r="C215" s="0" t="s">
        <v>73</v>
      </c>
      <c r="D215" s="0" t="s">
        <v>98</v>
      </c>
      <c r="E215" s="0" t="n">
        <v>52</v>
      </c>
      <c r="F215" s="30" t="n">
        <v>0</v>
      </c>
      <c r="G215" s="31" t="n">
        <v>45259</v>
      </c>
      <c r="H215" s="31" t="n">
        <v>45319</v>
      </c>
      <c r="I215" s="0" t="n">
        <v>60</v>
      </c>
      <c r="J215" s="32" t="s">
        <v>31</v>
      </c>
      <c r="K215" s="32" t="s">
        <v>43</v>
      </c>
      <c r="M215" s="30" t="n">
        <v>0</v>
      </c>
    </row>
    <row r="216" customFormat="false" ht="15" hidden="false" customHeight="false" outlineLevel="0" collapsed="false">
      <c r="A216" s="0" t="s">
        <v>576</v>
      </c>
      <c r="B216" s="0" t="s">
        <v>507</v>
      </c>
      <c r="C216" s="0" t="s">
        <v>73</v>
      </c>
      <c r="D216" s="0" t="s">
        <v>98</v>
      </c>
      <c r="E216" s="0" t="n">
        <v>9</v>
      </c>
      <c r="F216" s="30" t="n">
        <v>0</v>
      </c>
      <c r="G216" s="31" t="n">
        <v>45603</v>
      </c>
      <c r="H216" s="31" t="n">
        <v>45614</v>
      </c>
      <c r="I216" s="0" t="n">
        <v>11</v>
      </c>
      <c r="J216" s="32" t="s">
        <v>34</v>
      </c>
      <c r="K216" s="32" t="s">
        <v>42</v>
      </c>
      <c r="M216" s="30" t="n">
        <v>0</v>
      </c>
    </row>
    <row r="217" customFormat="false" ht="15" hidden="false" customHeight="false" outlineLevel="0" collapsed="false">
      <c r="A217" s="0" t="s">
        <v>577</v>
      </c>
      <c r="B217" s="0" t="s">
        <v>578</v>
      </c>
      <c r="C217" s="0" t="s">
        <v>73</v>
      </c>
      <c r="D217" s="0" t="s">
        <v>98</v>
      </c>
      <c r="E217" s="0" t="n">
        <v>14</v>
      </c>
      <c r="F217" s="30" t="n">
        <v>0</v>
      </c>
      <c r="G217" s="31" t="n">
        <v>45461</v>
      </c>
      <c r="H217" s="31" t="n">
        <v>45513</v>
      </c>
      <c r="I217" s="0" t="n">
        <v>52</v>
      </c>
      <c r="J217" s="32" t="s">
        <v>33</v>
      </c>
      <c r="K217" s="32" t="s">
        <v>64</v>
      </c>
      <c r="L217" s="32" t="s">
        <v>579</v>
      </c>
      <c r="M217" s="30" t="n">
        <v>0</v>
      </c>
    </row>
    <row r="218" customFormat="false" ht="15" hidden="false" customHeight="false" outlineLevel="0" collapsed="false">
      <c r="A218" s="0" t="s">
        <v>580</v>
      </c>
      <c r="B218" s="0" t="s">
        <v>291</v>
      </c>
      <c r="C218" s="0" t="s">
        <v>71</v>
      </c>
      <c r="D218" s="0" t="s">
        <v>98</v>
      </c>
      <c r="E218" s="0" t="n">
        <v>28</v>
      </c>
      <c r="F218" s="30" t="n">
        <v>0</v>
      </c>
      <c r="G218" s="31" t="n">
        <v>45480</v>
      </c>
      <c r="H218" s="31" t="n">
        <v>45588</v>
      </c>
      <c r="I218" s="0" t="n">
        <v>108</v>
      </c>
      <c r="J218" s="32" t="s">
        <v>34</v>
      </c>
      <c r="K218" s="32" t="s">
        <v>64</v>
      </c>
      <c r="L218" s="32" t="s">
        <v>581</v>
      </c>
      <c r="M218" s="30" t="n">
        <v>532</v>
      </c>
    </row>
    <row r="219" customFormat="false" ht="15" hidden="false" customHeight="false" outlineLevel="0" collapsed="false">
      <c r="A219" s="0" t="s">
        <v>582</v>
      </c>
      <c r="B219" s="0" t="s">
        <v>583</v>
      </c>
      <c r="C219" s="0" t="s">
        <v>71</v>
      </c>
      <c r="D219" s="0" t="s">
        <v>93</v>
      </c>
      <c r="E219" s="0" t="n">
        <v>11</v>
      </c>
      <c r="F219" s="30" t="n">
        <v>209</v>
      </c>
      <c r="G219" s="31" t="n">
        <v>45622</v>
      </c>
      <c r="H219" s="31" t="n">
        <v>45626</v>
      </c>
      <c r="I219" s="0" t="n">
        <v>4</v>
      </c>
      <c r="J219" s="32" t="s">
        <v>34</v>
      </c>
      <c r="K219" s="32" t="s">
        <v>42</v>
      </c>
      <c r="M219" s="30" t="n">
        <v>0</v>
      </c>
    </row>
    <row r="220" customFormat="false" ht="15" hidden="false" customHeight="false" outlineLevel="0" collapsed="false">
      <c r="A220" s="0" t="s">
        <v>584</v>
      </c>
      <c r="B220" s="0" t="s">
        <v>585</v>
      </c>
      <c r="C220" s="0" t="s">
        <v>71</v>
      </c>
      <c r="D220" s="0" t="s">
        <v>93</v>
      </c>
      <c r="E220" s="0" t="n">
        <v>21</v>
      </c>
      <c r="F220" s="30" t="n">
        <v>399</v>
      </c>
      <c r="G220" s="31" t="n">
        <v>45203</v>
      </c>
      <c r="H220" s="31" t="n">
        <v>45292</v>
      </c>
      <c r="I220" s="0" t="n">
        <v>89</v>
      </c>
      <c r="J220" s="32" t="s">
        <v>31</v>
      </c>
      <c r="K220" s="32" t="s">
        <v>43</v>
      </c>
      <c r="M220" s="30" t="n">
        <v>0</v>
      </c>
    </row>
    <row r="221" customFormat="false" ht="15" hidden="false" customHeight="false" outlineLevel="0" collapsed="false">
      <c r="A221" s="0" t="s">
        <v>586</v>
      </c>
      <c r="B221" s="0" t="s">
        <v>174</v>
      </c>
      <c r="C221" s="0" t="s">
        <v>72</v>
      </c>
      <c r="D221" s="0" t="s">
        <v>93</v>
      </c>
      <c r="E221" s="0" t="n">
        <v>87</v>
      </c>
      <c r="F221" s="30" t="n">
        <v>4263</v>
      </c>
      <c r="G221" s="31" t="n">
        <v>45588</v>
      </c>
      <c r="H221" s="31" t="n">
        <v>45622</v>
      </c>
      <c r="I221" s="0" t="n">
        <v>34</v>
      </c>
      <c r="J221" s="32" t="s">
        <v>34</v>
      </c>
      <c r="K221" s="32" t="s">
        <v>64</v>
      </c>
      <c r="L221" s="32" t="s">
        <v>587</v>
      </c>
      <c r="M221" s="30" t="n">
        <v>1653</v>
      </c>
    </row>
    <row r="222" customFormat="false" ht="15" hidden="false" customHeight="false" outlineLevel="0" collapsed="false">
      <c r="A222" s="0" t="s">
        <v>302</v>
      </c>
      <c r="B222" s="0" t="s">
        <v>301</v>
      </c>
      <c r="C222" s="0" t="s">
        <v>73</v>
      </c>
      <c r="D222" s="0" t="s">
        <v>93</v>
      </c>
      <c r="E222" s="0" t="n">
        <v>109</v>
      </c>
      <c r="F222" s="30" t="n">
        <v>21691</v>
      </c>
      <c r="G222" s="31" t="n">
        <v>45657</v>
      </c>
      <c r="H222" s="31" t="n">
        <v>45657</v>
      </c>
      <c r="I222" s="0" t="n">
        <v>0</v>
      </c>
      <c r="J222" s="32" t="s">
        <v>34</v>
      </c>
      <c r="K222" s="32" t="s">
        <v>42</v>
      </c>
      <c r="M222" s="30" t="n">
        <v>0</v>
      </c>
    </row>
    <row r="223" customFormat="false" ht="15" hidden="false" customHeight="false" outlineLevel="0" collapsed="false">
      <c r="A223" s="0" t="s">
        <v>588</v>
      </c>
      <c r="B223" s="0" t="s">
        <v>589</v>
      </c>
      <c r="C223" s="0" t="s">
        <v>71</v>
      </c>
      <c r="D223" s="0" t="s">
        <v>93</v>
      </c>
      <c r="E223" s="0" t="n">
        <v>20</v>
      </c>
      <c r="F223" s="30" t="n">
        <v>380</v>
      </c>
      <c r="G223" s="31" t="n">
        <v>45403</v>
      </c>
      <c r="H223" s="31" t="n">
        <v>45565</v>
      </c>
      <c r="I223" s="0" t="n">
        <v>162</v>
      </c>
      <c r="J223" s="32" t="s">
        <v>33</v>
      </c>
      <c r="K223" s="32" t="s">
        <v>43</v>
      </c>
      <c r="M223" s="30" t="n">
        <v>0</v>
      </c>
    </row>
    <row r="224" customFormat="false" ht="15" hidden="false" customHeight="false" outlineLevel="0" collapsed="false">
      <c r="A224" s="0" t="s">
        <v>590</v>
      </c>
      <c r="B224" s="0" t="s">
        <v>591</v>
      </c>
      <c r="C224" s="0" t="s">
        <v>71</v>
      </c>
      <c r="D224" s="0" t="s">
        <v>93</v>
      </c>
      <c r="E224" s="0" t="n">
        <v>4</v>
      </c>
      <c r="F224" s="30" t="n">
        <v>76</v>
      </c>
      <c r="G224" s="31" t="n">
        <v>45622</v>
      </c>
      <c r="H224" s="31" t="n">
        <v>45632</v>
      </c>
      <c r="I224" s="0" t="n">
        <v>10</v>
      </c>
      <c r="J224" s="32" t="s">
        <v>34</v>
      </c>
      <c r="K224" s="32" t="s">
        <v>64</v>
      </c>
      <c r="L224" s="32" t="s">
        <v>592</v>
      </c>
      <c r="M224" s="30" t="n">
        <v>196</v>
      </c>
    </row>
    <row r="225" customFormat="false" ht="15" hidden="false" customHeight="false" outlineLevel="0" collapsed="false">
      <c r="A225" s="0" t="s">
        <v>593</v>
      </c>
      <c r="B225" s="0" t="s">
        <v>594</v>
      </c>
      <c r="C225" s="0" t="s">
        <v>73</v>
      </c>
      <c r="D225" s="0" t="s">
        <v>93</v>
      </c>
      <c r="E225" s="0" t="n">
        <v>41</v>
      </c>
      <c r="F225" s="30" t="n">
        <v>8159</v>
      </c>
      <c r="G225" s="31" t="n">
        <v>45614</v>
      </c>
      <c r="H225" s="31" t="n">
        <v>45657</v>
      </c>
      <c r="I225" s="0" t="n">
        <v>43</v>
      </c>
      <c r="J225" s="32" t="s">
        <v>34</v>
      </c>
      <c r="K225" s="32" t="s">
        <v>43</v>
      </c>
      <c r="M225" s="30" t="n">
        <v>0</v>
      </c>
    </row>
    <row r="226" customFormat="false" ht="15" hidden="false" customHeight="false" outlineLevel="0" collapsed="false">
      <c r="A226" s="0" t="s">
        <v>595</v>
      </c>
      <c r="B226" s="0" t="s">
        <v>174</v>
      </c>
      <c r="C226" s="0" t="s">
        <v>73</v>
      </c>
      <c r="D226" s="0" t="s">
        <v>93</v>
      </c>
      <c r="E226" s="0" t="n">
        <v>87</v>
      </c>
      <c r="F226" s="30" t="n">
        <v>17313</v>
      </c>
      <c r="G226" s="31" t="n">
        <v>45422</v>
      </c>
      <c r="H226" s="31" t="n">
        <v>45632</v>
      </c>
      <c r="I226" s="0" t="n">
        <v>210</v>
      </c>
      <c r="J226" s="32" t="s">
        <v>34</v>
      </c>
      <c r="K226" s="32" t="s">
        <v>64</v>
      </c>
      <c r="L226" s="32" t="s">
        <v>596</v>
      </c>
      <c r="M226" s="30" t="n">
        <v>4263</v>
      </c>
    </row>
    <row r="227" customFormat="false" ht="15" hidden="false" customHeight="false" outlineLevel="0" collapsed="false">
      <c r="A227" s="0" t="s">
        <v>597</v>
      </c>
      <c r="B227" s="0" t="s">
        <v>195</v>
      </c>
      <c r="C227" s="0" t="s">
        <v>72</v>
      </c>
      <c r="D227" s="0" t="s">
        <v>98</v>
      </c>
      <c r="E227" s="0" t="n">
        <v>56</v>
      </c>
      <c r="F227" s="30" t="n">
        <v>0</v>
      </c>
      <c r="G227" s="31" t="n">
        <v>45075</v>
      </c>
      <c r="H227" s="31" t="n">
        <v>45492</v>
      </c>
      <c r="I227" s="0" t="n">
        <v>417</v>
      </c>
      <c r="J227" s="32" t="s">
        <v>33</v>
      </c>
      <c r="K227" s="32" t="s">
        <v>43</v>
      </c>
      <c r="M227" s="30" t="n">
        <v>0</v>
      </c>
    </row>
    <row r="228" customFormat="false" ht="15" hidden="false" customHeight="false" outlineLevel="0" collapsed="false">
      <c r="A228" s="0" t="s">
        <v>598</v>
      </c>
      <c r="B228" s="0" t="s">
        <v>599</v>
      </c>
      <c r="C228" s="0" t="s">
        <v>71</v>
      </c>
      <c r="D228" s="0" t="s">
        <v>93</v>
      </c>
      <c r="E228" s="0" t="n">
        <v>29</v>
      </c>
      <c r="F228" s="30" t="n">
        <v>551</v>
      </c>
      <c r="G228" s="31" t="n">
        <v>45502</v>
      </c>
      <c r="H228" s="31" t="n">
        <v>45586</v>
      </c>
      <c r="I228" s="0" t="n">
        <v>84</v>
      </c>
      <c r="J228" s="32" t="s">
        <v>34</v>
      </c>
      <c r="K228" s="32" t="s">
        <v>64</v>
      </c>
      <c r="L228" s="32" t="s">
        <v>600</v>
      </c>
      <c r="M228" s="30" t="n">
        <v>760</v>
      </c>
    </row>
    <row r="229" customFormat="false" ht="15" hidden="false" customHeight="false" outlineLevel="0" collapsed="false">
      <c r="A229" s="0" t="s">
        <v>601</v>
      </c>
      <c r="B229" s="0" t="s">
        <v>602</v>
      </c>
      <c r="C229" s="0" t="s">
        <v>71</v>
      </c>
      <c r="D229" s="0" t="s">
        <v>93</v>
      </c>
      <c r="E229" s="0" t="n">
        <v>2</v>
      </c>
      <c r="F229" s="30" t="n">
        <v>38</v>
      </c>
      <c r="G229" s="31" t="n">
        <v>45506</v>
      </c>
      <c r="H229" s="31" t="n">
        <v>45536</v>
      </c>
      <c r="I229" s="0" t="n">
        <v>30</v>
      </c>
      <c r="J229" s="32" t="s">
        <v>33</v>
      </c>
      <c r="K229" s="32" t="s">
        <v>42</v>
      </c>
      <c r="M229" s="30" t="n">
        <v>0</v>
      </c>
    </row>
    <row r="230" customFormat="false" ht="15" hidden="false" customHeight="false" outlineLevel="0" collapsed="false">
      <c r="A230" s="0" t="s">
        <v>603</v>
      </c>
      <c r="B230" s="0" t="s">
        <v>578</v>
      </c>
      <c r="C230" s="0" t="s">
        <v>72</v>
      </c>
      <c r="D230" s="0" t="s">
        <v>93</v>
      </c>
      <c r="E230" s="0" t="n">
        <v>20</v>
      </c>
      <c r="F230" s="30" t="n">
        <v>980</v>
      </c>
      <c r="G230" s="31" t="n">
        <v>45471</v>
      </c>
      <c r="H230" s="31" t="n">
        <v>45505</v>
      </c>
      <c r="I230" s="0" t="n">
        <v>34</v>
      </c>
      <c r="J230" s="32" t="s">
        <v>33</v>
      </c>
      <c r="K230" s="32" t="s">
        <v>64</v>
      </c>
      <c r="L230" s="32" t="s">
        <v>579</v>
      </c>
      <c r="M230" s="30" t="n">
        <v>490</v>
      </c>
    </row>
    <row r="231" customFormat="false" ht="15" hidden="false" customHeight="false" outlineLevel="0" collapsed="false">
      <c r="A231" s="0" t="s">
        <v>604</v>
      </c>
      <c r="B231" s="0" t="s">
        <v>164</v>
      </c>
      <c r="C231" s="0" t="s">
        <v>72</v>
      </c>
      <c r="D231" s="0" t="s">
        <v>93</v>
      </c>
      <c r="E231" s="0" t="n">
        <v>28</v>
      </c>
      <c r="F231" s="30" t="n">
        <v>1372</v>
      </c>
      <c r="G231" s="31" t="n">
        <v>45190</v>
      </c>
      <c r="H231" s="31" t="n">
        <v>45649</v>
      </c>
      <c r="I231" s="0" t="n">
        <v>459</v>
      </c>
      <c r="J231" s="32" t="s">
        <v>34</v>
      </c>
      <c r="K231" s="32" t="s">
        <v>43</v>
      </c>
      <c r="M231" s="30" t="n">
        <v>0</v>
      </c>
    </row>
    <row r="232" customFormat="false" ht="15" hidden="false" customHeight="false" outlineLevel="0" collapsed="false">
      <c r="A232" s="0" t="s">
        <v>605</v>
      </c>
      <c r="B232" s="0" t="s">
        <v>606</v>
      </c>
      <c r="C232" s="0" t="s">
        <v>73</v>
      </c>
      <c r="D232" s="0" t="s">
        <v>93</v>
      </c>
      <c r="E232" s="0" t="n">
        <v>98</v>
      </c>
      <c r="F232" s="30" t="n">
        <v>19502</v>
      </c>
      <c r="G232" s="31" t="n">
        <v>45570</v>
      </c>
      <c r="H232" s="31" t="n">
        <v>45639</v>
      </c>
      <c r="I232" s="0" t="n">
        <v>69</v>
      </c>
      <c r="J232" s="32" t="s">
        <v>34</v>
      </c>
      <c r="K232" s="32" t="s">
        <v>64</v>
      </c>
      <c r="L232" s="32" t="s">
        <v>607</v>
      </c>
      <c r="M232" s="30" t="n">
        <v>637</v>
      </c>
    </row>
    <row r="233" customFormat="false" ht="15" hidden="false" customHeight="false" outlineLevel="0" collapsed="false">
      <c r="A233" s="0" t="s">
        <v>608</v>
      </c>
      <c r="B233" s="0" t="s">
        <v>609</v>
      </c>
      <c r="C233" s="0" t="s">
        <v>72</v>
      </c>
      <c r="D233" s="0" t="s">
        <v>93</v>
      </c>
      <c r="E233" s="0" t="n">
        <v>5</v>
      </c>
      <c r="F233" s="30" t="n">
        <v>245</v>
      </c>
      <c r="G233" s="31" t="n">
        <v>45113</v>
      </c>
      <c r="H233" s="31" t="n">
        <v>45243</v>
      </c>
      <c r="I233" s="0" t="n">
        <v>130</v>
      </c>
      <c r="J233" s="32" t="s">
        <v>30</v>
      </c>
      <c r="K233" s="32" t="s">
        <v>43</v>
      </c>
      <c r="M233" s="30" t="n">
        <v>0</v>
      </c>
    </row>
    <row r="234" customFormat="false" ht="15" hidden="false" customHeight="false" outlineLevel="0" collapsed="false">
      <c r="A234" s="0" t="s">
        <v>610</v>
      </c>
      <c r="B234" s="0" t="s">
        <v>564</v>
      </c>
      <c r="C234" s="0" t="s">
        <v>72</v>
      </c>
      <c r="D234" s="0" t="s">
        <v>93</v>
      </c>
      <c r="E234" s="0" t="n">
        <v>39</v>
      </c>
      <c r="F234" s="30" t="n">
        <v>1911</v>
      </c>
      <c r="G234" s="31" t="n">
        <v>45611</v>
      </c>
      <c r="H234" s="31" t="n">
        <v>45619</v>
      </c>
      <c r="I234" s="0" t="n">
        <v>8</v>
      </c>
      <c r="J234" s="32" t="s">
        <v>34</v>
      </c>
      <c r="K234" s="32" t="s">
        <v>42</v>
      </c>
      <c r="M234" s="30" t="n">
        <v>0</v>
      </c>
    </row>
    <row r="235" customFormat="false" ht="15" hidden="false" customHeight="false" outlineLevel="0" collapsed="false">
      <c r="A235" s="0" t="s">
        <v>611</v>
      </c>
      <c r="B235" s="0" t="s">
        <v>368</v>
      </c>
      <c r="C235" s="0" t="s">
        <v>73</v>
      </c>
      <c r="D235" s="0" t="s">
        <v>93</v>
      </c>
      <c r="E235" s="0" t="n">
        <v>22</v>
      </c>
      <c r="F235" s="30" t="n">
        <v>4378</v>
      </c>
      <c r="G235" s="31" t="n">
        <v>45435</v>
      </c>
      <c r="H235" s="31" t="n">
        <v>45562</v>
      </c>
      <c r="I235" s="0" t="n">
        <v>127</v>
      </c>
      <c r="J235" s="32" t="s">
        <v>33</v>
      </c>
      <c r="K235" s="32" t="s">
        <v>64</v>
      </c>
      <c r="L235" s="32" t="s">
        <v>612</v>
      </c>
      <c r="M235" s="30" t="n">
        <v>171</v>
      </c>
    </row>
    <row r="236" customFormat="false" ht="15" hidden="false" customHeight="false" outlineLevel="0" collapsed="false">
      <c r="A236" s="0" t="s">
        <v>613</v>
      </c>
      <c r="B236" s="0" t="s">
        <v>614</v>
      </c>
      <c r="C236" s="0" t="s">
        <v>72</v>
      </c>
      <c r="D236" s="0" t="s">
        <v>93</v>
      </c>
      <c r="E236" s="0" t="n">
        <v>44</v>
      </c>
      <c r="F236" s="30" t="n">
        <v>2156</v>
      </c>
      <c r="G236" s="31" t="n">
        <v>45472</v>
      </c>
      <c r="H236" s="31" t="n">
        <v>45507</v>
      </c>
      <c r="I236" s="0" t="n">
        <v>35</v>
      </c>
      <c r="J236" s="32" t="s">
        <v>33</v>
      </c>
      <c r="K236" s="32" t="s">
        <v>43</v>
      </c>
      <c r="M236" s="30" t="n">
        <v>0</v>
      </c>
    </row>
    <row r="237" customFormat="false" ht="15" hidden="false" customHeight="false" outlineLevel="0" collapsed="false">
      <c r="A237" s="0" t="s">
        <v>547</v>
      </c>
      <c r="B237" s="0" t="s">
        <v>546</v>
      </c>
      <c r="C237" s="0" t="s">
        <v>71</v>
      </c>
      <c r="D237" s="0" t="s">
        <v>93</v>
      </c>
      <c r="E237" s="0" t="n">
        <v>50</v>
      </c>
      <c r="F237" s="30" t="n">
        <v>950</v>
      </c>
      <c r="G237" s="31" t="n">
        <v>45641</v>
      </c>
      <c r="H237" s="31" t="n">
        <v>45648</v>
      </c>
      <c r="I237" s="0" t="n">
        <v>7</v>
      </c>
      <c r="J237" s="32" t="s">
        <v>34</v>
      </c>
      <c r="K237" s="32" t="s">
        <v>64</v>
      </c>
      <c r="L237" s="32" t="s">
        <v>615</v>
      </c>
      <c r="M237" s="30" t="n">
        <v>9950</v>
      </c>
    </row>
    <row r="238" customFormat="false" ht="15" hidden="false" customHeight="false" outlineLevel="0" collapsed="false">
      <c r="A238" s="0" t="s">
        <v>616</v>
      </c>
      <c r="B238" s="0" t="s">
        <v>370</v>
      </c>
      <c r="C238" s="0" t="s">
        <v>72</v>
      </c>
      <c r="D238" s="0" t="s">
        <v>93</v>
      </c>
      <c r="E238" s="0" t="n">
        <v>23</v>
      </c>
      <c r="F238" s="30" t="n">
        <v>1127</v>
      </c>
      <c r="G238" s="31" t="n">
        <v>45582</v>
      </c>
      <c r="H238" s="31" t="n">
        <v>45643</v>
      </c>
      <c r="I238" s="0" t="n">
        <v>61</v>
      </c>
      <c r="J238" s="32" t="s">
        <v>34</v>
      </c>
      <c r="K238" s="32" t="s">
        <v>43</v>
      </c>
      <c r="M238" s="30" t="n">
        <v>0</v>
      </c>
    </row>
    <row r="239" customFormat="false" ht="15" hidden="false" customHeight="false" outlineLevel="0" collapsed="false">
      <c r="A239" s="0" t="s">
        <v>617</v>
      </c>
      <c r="B239" s="0" t="s">
        <v>618</v>
      </c>
      <c r="C239" s="0" t="s">
        <v>72</v>
      </c>
      <c r="D239" s="0" t="s">
        <v>93</v>
      </c>
      <c r="E239" s="0" t="n">
        <v>41</v>
      </c>
      <c r="F239" s="30" t="n">
        <v>2009</v>
      </c>
      <c r="G239" s="31" t="n">
        <v>45475</v>
      </c>
      <c r="H239" s="31" t="n">
        <v>45517</v>
      </c>
      <c r="I239" s="0" t="n">
        <v>42</v>
      </c>
      <c r="J239" s="32" t="s">
        <v>33</v>
      </c>
      <c r="K239" s="32" t="s">
        <v>43</v>
      </c>
      <c r="M239" s="30" t="n">
        <v>0</v>
      </c>
    </row>
    <row r="240" customFormat="false" ht="15" hidden="false" customHeight="false" outlineLevel="0" collapsed="false">
      <c r="A240" s="0" t="s">
        <v>619</v>
      </c>
      <c r="B240" s="0" t="s">
        <v>566</v>
      </c>
      <c r="C240" s="0" t="s">
        <v>73</v>
      </c>
      <c r="D240" s="0" t="s">
        <v>98</v>
      </c>
      <c r="E240" s="0" t="n">
        <v>11</v>
      </c>
      <c r="F240" s="30" t="n">
        <v>0</v>
      </c>
      <c r="G240" s="31" t="n">
        <v>45263</v>
      </c>
      <c r="H240" s="31" t="n">
        <v>45500</v>
      </c>
      <c r="I240" s="0" t="n">
        <v>237</v>
      </c>
      <c r="J240" s="32" t="s">
        <v>33</v>
      </c>
      <c r="K240" s="32" t="s">
        <v>64</v>
      </c>
      <c r="L240" s="32" t="s">
        <v>620</v>
      </c>
      <c r="M240" s="30" t="n">
        <v>3781</v>
      </c>
    </row>
    <row r="241" customFormat="false" ht="15" hidden="false" customHeight="false" outlineLevel="0" collapsed="false">
      <c r="A241" s="0" t="s">
        <v>621</v>
      </c>
      <c r="B241" s="0" t="s">
        <v>622</v>
      </c>
      <c r="C241" s="0" t="s">
        <v>71</v>
      </c>
      <c r="D241" s="0" t="s">
        <v>93</v>
      </c>
      <c r="E241" s="0" t="n">
        <v>17</v>
      </c>
      <c r="F241" s="30" t="n">
        <v>323</v>
      </c>
      <c r="G241" s="31" t="n">
        <v>45652</v>
      </c>
      <c r="H241" s="31" t="n">
        <v>45655</v>
      </c>
      <c r="I241" s="0" t="n">
        <v>3</v>
      </c>
      <c r="J241" s="32" t="s">
        <v>34</v>
      </c>
      <c r="K241" s="32" t="s">
        <v>64</v>
      </c>
      <c r="L241" s="32" t="s">
        <v>623</v>
      </c>
      <c r="M241" s="30" t="n">
        <v>152</v>
      </c>
    </row>
    <row r="242" customFormat="false" ht="15" hidden="false" customHeight="false" outlineLevel="0" collapsed="false">
      <c r="A242" s="0" t="s">
        <v>624</v>
      </c>
      <c r="B242" s="0" t="s">
        <v>485</v>
      </c>
      <c r="C242" s="0" t="s">
        <v>71</v>
      </c>
      <c r="D242" s="0" t="s">
        <v>93</v>
      </c>
      <c r="E242" s="0" t="n">
        <v>6</v>
      </c>
      <c r="F242" s="30" t="n">
        <v>114</v>
      </c>
      <c r="G242" s="31" t="n">
        <v>45298</v>
      </c>
      <c r="H242" s="31" t="n">
        <v>45449</v>
      </c>
      <c r="I242" s="0" t="n">
        <v>151</v>
      </c>
      <c r="J242" s="32" t="s">
        <v>32</v>
      </c>
      <c r="K242" s="32" t="s">
        <v>43</v>
      </c>
      <c r="M242" s="30" t="n">
        <v>0</v>
      </c>
    </row>
    <row r="243" customFormat="false" ht="15" hidden="false" customHeight="false" outlineLevel="0" collapsed="false">
      <c r="A243" s="0" t="s">
        <v>625</v>
      </c>
      <c r="B243" s="0" t="s">
        <v>560</v>
      </c>
      <c r="C243" s="0" t="s">
        <v>71</v>
      </c>
      <c r="D243" s="0" t="s">
        <v>93</v>
      </c>
      <c r="E243" s="0" t="n">
        <v>36</v>
      </c>
      <c r="F243" s="30" t="n">
        <v>684</v>
      </c>
      <c r="G243" s="31" t="n">
        <v>45403</v>
      </c>
      <c r="H243" s="31" t="n">
        <v>45590</v>
      </c>
      <c r="I243" s="0" t="n">
        <v>187</v>
      </c>
      <c r="J243" s="32" t="s">
        <v>34</v>
      </c>
      <c r="K243" s="32" t="s">
        <v>64</v>
      </c>
      <c r="L243" s="32" t="s">
        <v>626</v>
      </c>
      <c r="M243" s="30" t="n">
        <v>7164</v>
      </c>
    </row>
    <row r="244" customFormat="false" ht="15" hidden="false" customHeight="false" outlineLevel="0" collapsed="false">
      <c r="A244" s="0" t="s">
        <v>627</v>
      </c>
      <c r="B244" s="0" t="s">
        <v>628</v>
      </c>
      <c r="C244" s="0" t="s">
        <v>72</v>
      </c>
      <c r="D244" s="0" t="s">
        <v>93</v>
      </c>
      <c r="E244" s="0" t="n">
        <v>32</v>
      </c>
      <c r="F244" s="30" t="n">
        <v>1568</v>
      </c>
      <c r="G244" s="31" t="n">
        <v>45476</v>
      </c>
      <c r="H244" s="31" t="n">
        <v>45527</v>
      </c>
      <c r="I244" s="0" t="n">
        <v>51</v>
      </c>
      <c r="J244" s="32" t="s">
        <v>33</v>
      </c>
      <c r="K244" s="32" t="s">
        <v>43</v>
      </c>
      <c r="M244" s="30" t="n">
        <v>0</v>
      </c>
    </row>
    <row r="245" customFormat="false" ht="15" hidden="false" customHeight="false" outlineLevel="0" collapsed="false">
      <c r="A245" s="0" t="s">
        <v>519</v>
      </c>
      <c r="B245" s="0" t="s">
        <v>518</v>
      </c>
      <c r="C245" s="0" t="s">
        <v>72</v>
      </c>
      <c r="D245" s="0" t="s">
        <v>93</v>
      </c>
      <c r="E245" s="0" t="n">
        <v>13</v>
      </c>
      <c r="F245" s="30" t="n">
        <v>637</v>
      </c>
      <c r="G245" s="31" t="n">
        <v>45647</v>
      </c>
      <c r="H245" s="31" t="n">
        <v>45647</v>
      </c>
      <c r="I245" s="0" t="n">
        <v>0</v>
      </c>
      <c r="J245" s="32" t="s">
        <v>34</v>
      </c>
      <c r="K245" s="32" t="s">
        <v>64</v>
      </c>
      <c r="L245" s="32" t="s">
        <v>629</v>
      </c>
      <c r="M245" s="30" t="n">
        <v>247</v>
      </c>
    </row>
    <row r="246" customFormat="false" ht="15" hidden="false" customHeight="false" outlineLevel="0" collapsed="false">
      <c r="A246" s="0" t="s">
        <v>630</v>
      </c>
      <c r="B246" s="0" t="s">
        <v>631</v>
      </c>
      <c r="C246" s="0" t="s">
        <v>73</v>
      </c>
      <c r="D246" s="0" t="s">
        <v>98</v>
      </c>
      <c r="E246" s="0" t="n">
        <v>19</v>
      </c>
      <c r="F246" s="30" t="n">
        <v>0</v>
      </c>
      <c r="G246" s="31" t="n">
        <v>45565</v>
      </c>
      <c r="H246" s="31" t="n">
        <v>45587</v>
      </c>
      <c r="I246" s="0" t="n">
        <v>22</v>
      </c>
      <c r="J246" s="32" t="s">
        <v>34</v>
      </c>
      <c r="K246" s="32" t="s">
        <v>64</v>
      </c>
      <c r="L246" s="32" t="s">
        <v>632</v>
      </c>
      <c r="M246" s="30" t="n">
        <v>8955</v>
      </c>
    </row>
    <row r="247" customFormat="false" ht="15" hidden="false" customHeight="false" outlineLevel="0" collapsed="false">
      <c r="A247" s="0" t="s">
        <v>633</v>
      </c>
      <c r="B247" s="0" t="s">
        <v>401</v>
      </c>
      <c r="C247" s="0" t="s">
        <v>73</v>
      </c>
      <c r="D247" s="0" t="s">
        <v>93</v>
      </c>
      <c r="E247" s="0" t="n">
        <v>14</v>
      </c>
      <c r="F247" s="30" t="n">
        <v>2786</v>
      </c>
      <c r="G247" s="31" t="n">
        <v>45605</v>
      </c>
      <c r="H247" s="31" t="n">
        <v>45633</v>
      </c>
      <c r="I247" s="0" t="n">
        <v>28</v>
      </c>
      <c r="J247" s="32" t="s">
        <v>34</v>
      </c>
      <c r="K247" s="32" t="s">
        <v>64</v>
      </c>
      <c r="L247" s="32" t="s">
        <v>634</v>
      </c>
      <c r="M247" s="30" t="n">
        <v>343</v>
      </c>
    </row>
    <row r="248" customFormat="false" ht="15" hidden="false" customHeight="false" outlineLevel="0" collapsed="false">
      <c r="A248" s="0" t="s">
        <v>635</v>
      </c>
      <c r="B248" s="0" t="s">
        <v>174</v>
      </c>
      <c r="C248" s="0" t="s">
        <v>73</v>
      </c>
      <c r="D248" s="0" t="s">
        <v>93</v>
      </c>
      <c r="E248" s="0" t="n">
        <v>87</v>
      </c>
      <c r="F248" s="30" t="n">
        <v>17313</v>
      </c>
      <c r="G248" s="31" t="n">
        <v>45551</v>
      </c>
      <c r="H248" s="31" t="n">
        <v>45609</v>
      </c>
      <c r="I248" s="0" t="n">
        <v>58</v>
      </c>
      <c r="J248" s="32" t="s">
        <v>34</v>
      </c>
      <c r="K248" s="32" t="s">
        <v>43</v>
      </c>
      <c r="M248" s="30" t="n">
        <v>0</v>
      </c>
    </row>
    <row r="249" customFormat="false" ht="15" hidden="false" customHeight="false" outlineLevel="0" collapsed="false">
      <c r="A249" s="0" t="s">
        <v>636</v>
      </c>
      <c r="B249" s="0" t="s">
        <v>637</v>
      </c>
      <c r="C249" s="0" t="s">
        <v>73</v>
      </c>
      <c r="D249" s="0" t="s">
        <v>93</v>
      </c>
      <c r="E249" s="0" t="n">
        <v>40</v>
      </c>
      <c r="F249" s="30" t="n">
        <v>7960</v>
      </c>
      <c r="G249" s="31" t="n">
        <v>45653</v>
      </c>
      <c r="H249" s="31" t="n">
        <v>45653</v>
      </c>
      <c r="I249" s="0" t="n">
        <v>0</v>
      </c>
      <c r="J249" s="32" t="s">
        <v>34</v>
      </c>
      <c r="K249" s="32" t="s">
        <v>42</v>
      </c>
      <c r="M249" s="30" t="n">
        <v>0</v>
      </c>
    </row>
    <row r="250" customFormat="false" ht="15" hidden="false" customHeight="false" outlineLevel="0" collapsed="false">
      <c r="A250" s="0" t="s">
        <v>638</v>
      </c>
      <c r="B250" s="0" t="s">
        <v>639</v>
      </c>
      <c r="C250" s="0" t="s">
        <v>71</v>
      </c>
      <c r="D250" s="0" t="s">
        <v>93</v>
      </c>
      <c r="E250" s="0" t="n">
        <v>21</v>
      </c>
      <c r="F250" s="30" t="n">
        <v>399</v>
      </c>
      <c r="G250" s="31" t="n">
        <v>45344</v>
      </c>
      <c r="H250" s="31" t="n">
        <v>45456</v>
      </c>
      <c r="I250" s="0" t="n">
        <v>112</v>
      </c>
      <c r="J250" s="32" t="s">
        <v>32</v>
      </c>
      <c r="K250" s="32" t="s">
        <v>43</v>
      </c>
      <c r="M250" s="30" t="n">
        <v>0</v>
      </c>
    </row>
    <row r="251" customFormat="false" ht="15" hidden="false" customHeight="false" outlineLevel="0" collapsed="false">
      <c r="A251" s="0" t="s">
        <v>640</v>
      </c>
      <c r="B251" s="0" t="s">
        <v>641</v>
      </c>
      <c r="C251" s="0" t="s">
        <v>71</v>
      </c>
      <c r="D251" s="0" t="s">
        <v>93</v>
      </c>
      <c r="E251" s="0" t="n">
        <v>11</v>
      </c>
      <c r="F251" s="30" t="n">
        <v>209</v>
      </c>
      <c r="G251" s="31" t="n">
        <v>45338</v>
      </c>
      <c r="H251" s="31" t="n">
        <v>45516</v>
      </c>
      <c r="I251" s="0" t="n">
        <v>178</v>
      </c>
      <c r="J251" s="32" t="s">
        <v>33</v>
      </c>
      <c r="K251" s="32" t="s">
        <v>43</v>
      </c>
      <c r="M251" s="30" t="n">
        <v>0</v>
      </c>
    </row>
    <row r="252" customFormat="false" ht="15" hidden="false" customHeight="false" outlineLevel="0" collapsed="false">
      <c r="A252" s="0" t="s">
        <v>642</v>
      </c>
      <c r="B252" s="0" t="s">
        <v>643</v>
      </c>
      <c r="C252" s="0" t="s">
        <v>71</v>
      </c>
      <c r="D252" s="0" t="s">
        <v>93</v>
      </c>
      <c r="E252" s="0" t="n">
        <v>38</v>
      </c>
      <c r="F252" s="30" t="n">
        <v>722</v>
      </c>
      <c r="G252" s="31" t="n">
        <v>45562</v>
      </c>
      <c r="H252" s="31" t="n">
        <v>45594</v>
      </c>
      <c r="I252" s="0" t="n">
        <v>32</v>
      </c>
      <c r="J252" s="32" t="s">
        <v>34</v>
      </c>
      <c r="K252" s="32" t="s">
        <v>43</v>
      </c>
      <c r="M252" s="30" t="n">
        <v>0</v>
      </c>
    </row>
    <row r="253" customFormat="false" ht="15" hidden="false" customHeight="false" outlineLevel="0" collapsed="false">
      <c r="A253" s="0" t="s">
        <v>644</v>
      </c>
      <c r="B253" s="0" t="s">
        <v>334</v>
      </c>
      <c r="C253" s="0" t="s">
        <v>73</v>
      </c>
      <c r="D253" s="0" t="s">
        <v>93</v>
      </c>
      <c r="E253" s="0" t="n">
        <v>44</v>
      </c>
      <c r="F253" s="30" t="n">
        <v>8756</v>
      </c>
      <c r="G253" s="31" t="n">
        <v>45495</v>
      </c>
      <c r="H253" s="31" t="n">
        <v>45579</v>
      </c>
      <c r="I253" s="0" t="n">
        <v>84</v>
      </c>
      <c r="J253" s="32" t="s">
        <v>34</v>
      </c>
      <c r="K253" s="32" t="s">
        <v>64</v>
      </c>
      <c r="L253" s="32" t="s">
        <v>645</v>
      </c>
      <c r="M253" s="30" t="n">
        <v>8756</v>
      </c>
    </row>
    <row r="254" customFormat="false" ht="15" hidden="false" customHeight="false" outlineLevel="0" collapsed="false">
      <c r="A254" s="0" t="s">
        <v>646</v>
      </c>
      <c r="B254" s="0" t="s">
        <v>647</v>
      </c>
      <c r="C254" s="0" t="s">
        <v>72</v>
      </c>
      <c r="D254" s="0" t="s">
        <v>93</v>
      </c>
      <c r="E254" s="0" t="n">
        <v>8</v>
      </c>
      <c r="F254" s="30" t="n">
        <v>392</v>
      </c>
      <c r="G254" s="31" t="n">
        <v>45585</v>
      </c>
      <c r="H254" s="31" t="n">
        <v>45614</v>
      </c>
      <c r="I254" s="0" t="n">
        <v>29</v>
      </c>
      <c r="J254" s="32" t="s">
        <v>34</v>
      </c>
      <c r="K254" s="32" t="s">
        <v>64</v>
      </c>
      <c r="L254" s="32" t="s">
        <v>648</v>
      </c>
      <c r="M254" s="30" t="n">
        <v>285</v>
      </c>
    </row>
    <row r="255" customFormat="false" ht="15" hidden="false" customHeight="false" outlineLevel="0" collapsed="false">
      <c r="A255" s="0" t="s">
        <v>649</v>
      </c>
      <c r="B255" s="0" t="s">
        <v>650</v>
      </c>
      <c r="C255" s="0" t="s">
        <v>71</v>
      </c>
      <c r="D255" s="0" t="s">
        <v>93</v>
      </c>
      <c r="E255" s="0" t="n">
        <v>86</v>
      </c>
      <c r="F255" s="30" t="n">
        <v>1634</v>
      </c>
      <c r="G255" s="31" t="n">
        <v>45654</v>
      </c>
      <c r="H255" s="31" t="n">
        <v>45655</v>
      </c>
      <c r="I255" s="0" t="n">
        <v>1</v>
      </c>
      <c r="J255" s="32" t="s">
        <v>34</v>
      </c>
      <c r="K255" s="32" t="s">
        <v>64</v>
      </c>
      <c r="L255" s="32" t="s">
        <v>651</v>
      </c>
      <c r="M255" s="30" t="n">
        <v>209</v>
      </c>
    </row>
    <row r="256" customFormat="false" ht="15" hidden="false" customHeight="false" outlineLevel="0" collapsed="false">
      <c r="A256" s="0" t="s">
        <v>652</v>
      </c>
      <c r="B256" s="0" t="s">
        <v>653</v>
      </c>
      <c r="C256" s="0" t="s">
        <v>71</v>
      </c>
      <c r="D256" s="0" t="s">
        <v>93</v>
      </c>
      <c r="E256" s="0" t="n">
        <v>53</v>
      </c>
      <c r="F256" s="30" t="n">
        <v>1007</v>
      </c>
      <c r="G256" s="31" t="n">
        <v>45494</v>
      </c>
      <c r="H256" s="31" t="n">
        <v>45620</v>
      </c>
      <c r="I256" s="0" t="n">
        <v>126</v>
      </c>
      <c r="J256" s="32" t="s">
        <v>34</v>
      </c>
      <c r="K256" s="32" t="s">
        <v>64</v>
      </c>
      <c r="L256" s="32" t="s">
        <v>654</v>
      </c>
      <c r="M256" s="30" t="n">
        <v>0</v>
      </c>
    </row>
    <row r="257" customFormat="false" ht="15" hidden="false" customHeight="false" outlineLevel="0" collapsed="false">
      <c r="A257" s="0" t="s">
        <v>655</v>
      </c>
      <c r="B257" s="0" t="s">
        <v>232</v>
      </c>
      <c r="C257" s="0" t="s">
        <v>72</v>
      </c>
      <c r="D257" s="0" t="s">
        <v>93</v>
      </c>
      <c r="E257" s="0" t="n">
        <v>14</v>
      </c>
      <c r="F257" s="30" t="n">
        <v>686</v>
      </c>
      <c r="G257" s="31" t="n">
        <v>44972</v>
      </c>
      <c r="H257" s="31" t="n">
        <v>45163</v>
      </c>
      <c r="I257" s="0" t="n">
        <v>191</v>
      </c>
      <c r="J257" s="32" t="s">
        <v>29</v>
      </c>
      <c r="K257" s="32" t="s">
        <v>43</v>
      </c>
      <c r="M257" s="30" t="n">
        <v>0</v>
      </c>
    </row>
    <row r="258" customFormat="false" ht="15" hidden="false" customHeight="false" outlineLevel="0" collapsed="false">
      <c r="A258" s="0" t="s">
        <v>656</v>
      </c>
      <c r="B258" s="0" t="s">
        <v>136</v>
      </c>
      <c r="C258" s="0" t="s">
        <v>73</v>
      </c>
      <c r="D258" s="0" t="s">
        <v>93</v>
      </c>
      <c r="E258" s="0" t="n">
        <v>64</v>
      </c>
      <c r="F258" s="30" t="n">
        <v>12736</v>
      </c>
      <c r="G258" s="31" t="n">
        <v>45185</v>
      </c>
      <c r="H258" s="31" t="n">
        <v>45236</v>
      </c>
      <c r="I258" s="0" t="n">
        <v>51</v>
      </c>
      <c r="J258" s="32" t="s">
        <v>30</v>
      </c>
      <c r="K258" s="32" t="s">
        <v>44</v>
      </c>
      <c r="M258" s="30" t="n">
        <v>0</v>
      </c>
    </row>
    <row r="259" customFormat="false" ht="15" hidden="false" customHeight="false" outlineLevel="0" collapsed="false">
      <c r="A259" s="0" t="s">
        <v>657</v>
      </c>
      <c r="B259" s="0" t="s">
        <v>245</v>
      </c>
      <c r="C259" s="0" t="s">
        <v>72</v>
      </c>
      <c r="D259" s="0" t="s">
        <v>93</v>
      </c>
      <c r="E259" s="0" t="n">
        <v>18</v>
      </c>
      <c r="F259" s="30" t="n">
        <v>882</v>
      </c>
      <c r="G259" s="31" t="n">
        <v>45334</v>
      </c>
      <c r="H259" s="31" t="n">
        <v>45567</v>
      </c>
      <c r="I259" s="0" t="n">
        <v>233</v>
      </c>
      <c r="J259" s="32" t="s">
        <v>34</v>
      </c>
      <c r="K259" s="32" t="s">
        <v>64</v>
      </c>
      <c r="L259" s="32" t="s">
        <v>658</v>
      </c>
      <c r="M259" s="30" t="n">
        <v>4577</v>
      </c>
    </row>
    <row r="260" customFormat="false" ht="15" hidden="false" customHeight="false" outlineLevel="0" collapsed="false">
      <c r="A260" s="0" t="s">
        <v>659</v>
      </c>
      <c r="B260" s="0" t="s">
        <v>148</v>
      </c>
      <c r="C260" s="0" t="s">
        <v>72</v>
      </c>
      <c r="D260" s="0" t="s">
        <v>93</v>
      </c>
      <c r="E260" s="0" t="n">
        <v>3</v>
      </c>
      <c r="F260" s="30" t="n">
        <v>147</v>
      </c>
      <c r="G260" s="31" t="n">
        <v>45588</v>
      </c>
      <c r="H260" s="31" t="n">
        <v>45602</v>
      </c>
      <c r="I260" s="0" t="n">
        <v>14</v>
      </c>
      <c r="J260" s="32" t="s">
        <v>34</v>
      </c>
      <c r="K260" s="32" t="s">
        <v>64</v>
      </c>
      <c r="L260" s="32" t="s">
        <v>660</v>
      </c>
      <c r="M260" s="30" t="n">
        <v>0</v>
      </c>
    </row>
    <row r="261" customFormat="false" ht="15" hidden="false" customHeight="false" outlineLevel="0" collapsed="false">
      <c r="A261" s="0" t="s">
        <v>661</v>
      </c>
      <c r="B261" s="0" t="s">
        <v>553</v>
      </c>
      <c r="C261" s="0" t="s">
        <v>72</v>
      </c>
      <c r="D261" s="0" t="s">
        <v>93</v>
      </c>
      <c r="E261" s="0" t="n">
        <v>15</v>
      </c>
      <c r="F261" s="30" t="n">
        <v>735</v>
      </c>
      <c r="G261" s="31" t="n">
        <v>45637</v>
      </c>
      <c r="H261" s="31" t="n">
        <v>45639</v>
      </c>
      <c r="I261" s="0" t="n">
        <v>2</v>
      </c>
      <c r="J261" s="32" t="s">
        <v>34</v>
      </c>
      <c r="K261" s="32" t="s">
        <v>64</v>
      </c>
      <c r="L261" s="32" t="s">
        <v>662</v>
      </c>
      <c r="M261" s="30" t="n">
        <v>637</v>
      </c>
    </row>
    <row r="262" customFormat="false" ht="15" hidden="false" customHeight="false" outlineLevel="0" collapsed="false">
      <c r="A262" s="0" t="s">
        <v>663</v>
      </c>
      <c r="B262" s="0" t="s">
        <v>664</v>
      </c>
      <c r="C262" s="0" t="s">
        <v>73</v>
      </c>
      <c r="D262" s="0" t="s">
        <v>93</v>
      </c>
      <c r="E262" s="0" t="n">
        <v>31</v>
      </c>
      <c r="F262" s="30" t="n">
        <v>6169</v>
      </c>
      <c r="G262" s="31" t="n">
        <v>45340</v>
      </c>
      <c r="H262" s="31" t="n">
        <v>45411</v>
      </c>
      <c r="I262" s="0" t="n">
        <v>71</v>
      </c>
      <c r="J262" s="32" t="s">
        <v>32</v>
      </c>
      <c r="K262" s="32" t="s">
        <v>43</v>
      </c>
      <c r="M262" s="30" t="n">
        <v>0</v>
      </c>
    </row>
    <row r="263" customFormat="false" ht="15" hidden="false" customHeight="false" outlineLevel="0" collapsed="false">
      <c r="A263" s="0" t="s">
        <v>665</v>
      </c>
      <c r="B263" s="0" t="s">
        <v>666</v>
      </c>
      <c r="C263" s="0" t="s">
        <v>72</v>
      </c>
      <c r="D263" s="0" t="s">
        <v>93</v>
      </c>
      <c r="E263" s="0" t="n">
        <v>9</v>
      </c>
      <c r="F263" s="30" t="n">
        <v>441</v>
      </c>
      <c r="G263" s="31" t="n">
        <v>45619</v>
      </c>
      <c r="H263" s="31" t="n">
        <v>45646</v>
      </c>
      <c r="I263" s="0" t="n">
        <v>27</v>
      </c>
      <c r="J263" s="32" t="s">
        <v>34</v>
      </c>
      <c r="K263" s="32" t="s">
        <v>64</v>
      </c>
      <c r="L263" s="32" t="s">
        <v>667</v>
      </c>
      <c r="M263" s="30" t="n">
        <v>171</v>
      </c>
    </row>
    <row r="264" customFormat="false" ht="15" hidden="false" customHeight="false" outlineLevel="0" collapsed="false">
      <c r="A264" s="0" t="s">
        <v>668</v>
      </c>
      <c r="B264" s="0" t="s">
        <v>669</v>
      </c>
      <c r="C264" s="0" t="s">
        <v>72</v>
      </c>
      <c r="D264" s="0" t="s">
        <v>93</v>
      </c>
      <c r="E264" s="0" t="n">
        <v>15</v>
      </c>
      <c r="F264" s="30" t="n">
        <v>735</v>
      </c>
      <c r="G264" s="31" t="n">
        <v>45643</v>
      </c>
      <c r="H264" s="31" t="n">
        <v>45654</v>
      </c>
      <c r="I264" s="0" t="n">
        <v>11</v>
      </c>
      <c r="J264" s="32" t="s">
        <v>34</v>
      </c>
      <c r="K264" s="32" t="s">
        <v>64</v>
      </c>
      <c r="L264" s="32" t="s">
        <v>670</v>
      </c>
      <c r="M264" s="30" t="n">
        <v>980</v>
      </c>
    </row>
    <row r="265" customFormat="false" ht="15" hidden="false" customHeight="false" outlineLevel="0" collapsed="false">
      <c r="A265" s="0" t="s">
        <v>671</v>
      </c>
      <c r="B265" s="0" t="s">
        <v>672</v>
      </c>
      <c r="C265" s="0" t="s">
        <v>73</v>
      </c>
      <c r="D265" s="0" t="s">
        <v>93</v>
      </c>
      <c r="E265" s="0" t="n">
        <v>29</v>
      </c>
      <c r="F265" s="30" t="n">
        <v>5771</v>
      </c>
      <c r="G265" s="31" t="n">
        <v>45656</v>
      </c>
      <c r="H265" s="31" t="n">
        <v>45657</v>
      </c>
      <c r="I265" s="0" t="n">
        <v>1</v>
      </c>
      <c r="J265" s="32" t="s">
        <v>34</v>
      </c>
      <c r="K265" s="32" t="s">
        <v>64</v>
      </c>
      <c r="L265" s="32" t="s">
        <v>673</v>
      </c>
      <c r="M265" s="30" t="n">
        <v>539</v>
      </c>
    </row>
    <row r="266" customFormat="false" ht="15" hidden="false" customHeight="false" outlineLevel="0" collapsed="false">
      <c r="A266" s="0" t="s">
        <v>674</v>
      </c>
      <c r="B266" s="0" t="s">
        <v>238</v>
      </c>
      <c r="C266" s="0" t="s">
        <v>71</v>
      </c>
      <c r="D266" s="0" t="s">
        <v>93</v>
      </c>
      <c r="E266" s="0" t="n">
        <v>41</v>
      </c>
      <c r="F266" s="30" t="n">
        <v>779</v>
      </c>
      <c r="G266" s="31" t="n">
        <v>45603</v>
      </c>
      <c r="H266" s="31" t="n">
        <v>45628</v>
      </c>
      <c r="I266" s="0" t="n">
        <v>25</v>
      </c>
      <c r="J266" s="32" t="s">
        <v>34</v>
      </c>
      <c r="K266" s="32" t="s">
        <v>64</v>
      </c>
      <c r="L266" s="32" t="s">
        <v>237</v>
      </c>
      <c r="M266" s="30" t="n">
        <v>8159</v>
      </c>
    </row>
    <row r="267" customFormat="false" ht="15" hidden="false" customHeight="false" outlineLevel="0" collapsed="false">
      <c r="A267" s="0" t="s">
        <v>675</v>
      </c>
      <c r="B267" s="0" t="s">
        <v>676</v>
      </c>
      <c r="C267" s="0" t="s">
        <v>72</v>
      </c>
      <c r="D267" s="0" t="s">
        <v>93</v>
      </c>
      <c r="E267" s="0" t="n">
        <v>7</v>
      </c>
      <c r="F267" s="30" t="n">
        <v>343</v>
      </c>
      <c r="G267" s="31" t="n">
        <v>45547</v>
      </c>
      <c r="H267" s="31" t="n">
        <v>45597</v>
      </c>
      <c r="I267" s="0" t="n">
        <v>50</v>
      </c>
      <c r="J267" s="32" t="s">
        <v>34</v>
      </c>
      <c r="K267" s="32" t="s">
        <v>43</v>
      </c>
      <c r="M267" s="30" t="n">
        <v>0</v>
      </c>
    </row>
    <row r="268" customFormat="false" ht="15" hidden="false" customHeight="false" outlineLevel="0" collapsed="false">
      <c r="A268" s="0" t="s">
        <v>677</v>
      </c>
      <c r="B268" s="0" t="s">
        <v>678</v>
      </c>
      <c r="C268" s="0" t="s">
        <v>73</v>
      </c>
      <c r="D268" s="0" t="s">
        <v>93</v>
      </c>
      <c r="E268" s="0" t="n">
        <v>92</v>
      </c>
      <c r="F268" s="30" t="n">
        <v>18308</v>
      </c>
      <c r="G268" s="31" t="n">
        <v>45648</v>
      </c>
      <c r="H268" s="31" t="n">
        <v>45656</v>
      </c>
      <c r="I268" s="0" t="n">
        <v>8</v>
      </c>
      <c r="J268" s="32" t="s">
        <v>34</v>
      </c>
      <c r="K268" s="32" t="s">
        <v>64</v>
      </c>
      <c r="L268" s="32" t="s">
        <v>679</v>
      </c>
      <c r="M268" s="30" t="n">
        <v>0</v>
      </c>
    </row>
    <row r="269" customFormat="false" ht="15" hidden="false" customHeight="false" outlineLevel="0" collapsed="false">
      <c r="A269" s="0" t="s">
        <v>680</v>
      </c>
      <c r="B269" s="0" t="s">
        <v>681</v>
      </c>
      <c r="C269" s="0" t="s">
        <v>71</v>
      </c>
      <c r="D269" s="0" t="s">
        <v>93</v>
      </c>
      <c r="E269" s="0" t="n">
        <v>24</v>
      </c>
      <c r="F269" s="30" t="n">
        <v>456</v>
      </c>
      <c r="G269" s="31" t="n">
        <v>45509</v>
      </c>
      <c r="H269" s="31" t="n">
        <v>45516</v>
      </c>
      <c r="I269" s="0" t="n">
        <v>7</v>
      </c>
      <c r="J269" s="32" t="s">
        <v>33</v>
      </c>
      <c r="K269" s="32" t="s">
        <v>42</v>
      </c>
      <c r="M269" s="30" t="n">
        <v>0</v>
      </c>
    </row>
    <row r="270" customFormat="false" ht="15" hidden="false" customHeight="false" outlineLevel="0" collapsed="false">
      <c r="A270" s="0" t="s">
        <v>682</v>
      </c>
      <c r="B270" s="0" t="s">
        <v>683</v>
      </c>
      <c r="C270" s="0" t="s">
        <v>72</v>
      </c>
      <c r="D270" s="0" t="s">
        <v>93</v>
      </c>
      <c r="E270" s="0" t="n">
        <v>4</v>
      </c>
      <c r="F270" s="30" t="n">
        <v>196</v>
      </c>
      <c r="G270" s="31" t="n">
        <v>45508</v>
      </c>
      <c r="H270" s="31" t="n">
        <v>45516</v>
      </c>
      <c r="I270" s="0" t="n">
        <v>8</v>
      </c>
      <c r="J270" s="32" t="s">
        <v>33</v>
      </c>
      <c r="K270" s="32" t="s">
        <v>42</v>
      </c>
      <c r="M270" s="30" t="n">
        <v>0</v>
      </c>
    </row>
    <row r="271" customFormat="false" ht="15" hidden="false" customHeight="false" outlineLevel="0" collapsed="false">
      <c r="A271" s="0" t="s">
        <v>684</v>
      </c>
      <c r="B271" s="0" t="s">
        <v>685</v>
      </c>
      <c r="C271" s="0" t="s">
        <v>71</v>
      </c>
      <c r="D271" s="0" t="s">
        <v>93</v>
      </c>
      <c r="E271" s="0" t="n">
        <v>12</v>
      </c>
      <c r="F271" s="30" t="n">
        <v>228</v>
      </c>
      <c r="G271" s="31" t="n">
        <v>45111</v>
      </c>
      <c r="H271" s="31" t="n">
        <v>45116</v>
      </c>
      <c r="I271" s="0" t="n">
        <v>5</v>
      </c>
      <c r="J271" s="32" t="s">
        <v>29</v>
      </c>
      <c r="K271" s="32" t="s">
        <v>64</v>
      </c>
      <c r="L271" s="32" t="s">
        <v>686</v>
      </c>
      <c r="M271" s="30" t="n">
        <v>418</v>
      </c>
    </row>
    <row r="272" customFormat="false" ht="15" hidden="false" customHeight="false" outlineLevel="0" collapsed="false">
      <c r="A272" s="0" t="s">
        <v>687</v>
      </c>
      <c r="B272" s="0" t="s">
        <v>688</v>
      </c>
      <c r="C272" s="0" t="s">
        <v>72</v>
      </c>
      <c r="D272" s="0" t="s">
        <v>93</v>
      </c>
      <c r="E272" s="0" t="n">
        <v>44</v>
      </c>
      <c r="F272" s="30" t="n">
        <v>2156</v>
      </c>
      <c r="G272" s="31" t="n">
        <v>45056</v>
      </c>
      <c r="H272" s="31" t="n">
        <v>45493</v>
      </c>
      <c r="I272" s="0" t="n">
        <v>437</v>
      </c>
      <c r="J272" s="32" t="s">
        <v>33</v>
      </c>
      <c r="K272" s="32" t="s">
        <v>64</v>
      </c>
      <c r="L272" s="32" t="s">
        <v>689</v>
      </c>
      <c r="M272" s="30" t="n">
        <v>2156</v>
      </c>
    </row>
    <row r="273" customFormat="false" ht="15" hidden="false" customHeight="false" outlineLevel="0" collapsed="false">
      <c r="A273" s="0" t="s">
        <v>690</v>
      </c>
      <c r="B273" s="0" t="s">
        <v>691</v>
      </c>
      <c r="C273" s="0" t="s">
        <v>72</v>
      </c>
      <c r="D273" s="0" t="s">
        <v>93</v>
      </c>
      <c r="E273" s="0" t="n">
        <v>12</v>
      </c>
      <c r="F273" s="30" t="n">
        <v>588</v>
      </c>
      <c r="G273" s="31" t="n">
        <v>45633</v>
      </c>
      <c r="H273" s="31" t="n">
        <v>45641</v>
      </c>
      <c r="I273" s="0" t="n">
        <v>8</v>
      </c>
      <c r="J273" s="32" t="s">
        <v>34</v>
      </c>
      <c r="K273" s="32" t="s">
        <v>42</v>
      </c>
      <c r="M273" s="30" t="n">
        <v>0</v>
      </c>
    </row>
    <row r="274" customFormat="false" ht="15" hidden="false" customHeight="false" outlineLevel="0" collapsed="false">
      <c r="A274" s="0" t="s">
        <v>692</v>
      </c>
      <c r="B274" s="0" t="s">
        <v>693</v>
      </c>
      <c r="C274" s="0" t="s">
        <v>71</v>
      </c>
      <c r="D274" s="0" t="s">
        <v>93</v>
      </c>
      <c r="E274" s="0" t="n">
        <v>8</v>
      </c>
      <c r="F274" s="30" t="n">
        <v>152</v>
      </c>
      <c r="G274" s="31" t="n">
        <v>45223</v>
      </c>
      <c r="H274" s="31" t="n">
        <v>45341</v>
      </c>
      <c r="I274" s="0" t="n">
        <v>118</v>
      </c>
      <c r="J274" s="32" t="s">
        <v>31</v>
      </c>
      <c r="K274" s="32" t="s">
        <v>43</v>
      </c>
      <c r="M274" s="30" t="n">
        <v>0</v>
      </c>
    </row>
    <row r="275" customFormat="false" ht="15" hidden="false" customHeight="false" outlineLevel="0" collapsed="false">
      <c r="A275" s="0" t="s">
        <v>694</v>
      </c>
      <c r="B275" s="0" t="s">
        <v>695</v>
      </c>
      <c r="C275" s="0" t="s">
        <v>71</v>
      </c>
      <c r="D275" s="0" t="s">
        <v>93</v>
      </c>
      <c r="E275" s="0" t="n">
        <v>14</v>
      </c>
      <c r="F275" s="30" t="n">
        <v>266</v>
      </c>
      <c r="G275" s="31" t="n">
        <v>45163</v>
      </c>
      <c r="H275" s="31" t="n">
        <v>45629</v>
      </c>
      <c r="I275" s="0" t="n">
        <v>466</v>
      </c>
      <c r="J275" s="32" t="s">
        <v>34</v>
      </c>
      <c r="K275" s="32" t="s">
        <v>43</v>
      </c>
      <c r="M275" s="30" t="n">
        <v>0</v>
      </c>
    </row>
    <row r="276" customFormat="false" ht="15" hidden="false" customHeight="false" outlineLevel="0" collapsed="false">
      <c r="A276" s="0" t="s">
        <v>696</v>
      </c>
      <c r="B276" s="0" t="s">
        <v>585</v>
      </c>
      <c r="C276" s="0" t="s">
        <v>71</v>
      </c>
      <c r="D276" s="0" t="s">
        <v>93</v>
      </c>
      <c r="E276" s="0" t="n">
        <v>21</v>
      </c>
      <c r="F276" s="30" t="n">
        <v>399</v>
      </c>
      <c r="G276" s="31" t="n">
        <v>45208</v>
      </c>
      <c r="H276" s="31" t="n">
        <v>45463</v>
      </c>
      <c r="I276" s="0" t="n">
        <v>255</v>
      </c>
      <c r="J276" s="32" t="s">
        <v>32</v>
      </c>
      <c r="K276" s="32" t="s">
        <v>64</v>
      </c>
      <c r="L276" s="32" t="s">
        <v>697</v>
      </c>
      <c r="M276" s="30" t="n">
        <v>4179</v>
      </c>
    </row>
    <row r="277" customFormat="false" ht="15" hidden="false" customHeight="false" outlineLevel="0" collapsed="false">
      <c r="A277" s="0" t="s">
        <v>698</v>
      </c>
      <c r="B277" s="0" t="s">
        <v>699</v>
      </c>
      <c r="C277" s="0" t="s">
        <v>73</v>
      </c>
      <c r="D277" s="0" t="s">
        <v>93</v>
      </c>
      <c r="E277" s="0" t="n">
        <v>4</v>
      </c>
      <c r="F277" s="30" t="n">
        <v>796</v>
      </c>
      <c r="G277" s="31" t="n">
        <v>45481</v>
      </c>
      <c r="H277" s="31" t="n">
        <v>45580</v>
      </c>
      <c r="I277" s="0" t="n">
        <v>99</v>
      </c>
      <c r="J277" s="32" t="s">
        <v>34</v>
      </c>
      <c r="K277" s="32" t="s">
        <v>64</v>
      </c>
      <c r="L277" s="32" t="s">
        <v>700</v>
      </c>
      <c r="M277" s="30" t="n">
        <v>0</v>
      </c>
    </row>
    <row r="278" customFormat="false" ht="15" hidden="false" customHeight="false" outlineLevel="0" collapsed="false">
      <c r="A278" s="0" t="s">
        <v>701</v>
      </c>
      <c r="B278" s="0" t="s">
        <v>702</v>
      </c>
      <c r="C278" s="0" t="s">
        <v>72</v>
      </c>
      <c r="D278" s="0" t="s">
        <v>93</v>
      </c>
      <c r="E278" s="0" t="n">
        <v>40</v>
      </c>
      <c r="F278" s="30" t="n">
        <v>1960</v>
      </c>
      <c r="G278" s="31" t="n">
        <v>45624</v>
      </c>
      <c r="H278" s="31" t="n">
        <v>45632</v>
      </c>
      <c r="I278" s="0" t="n">
        <v>8</v>
      </c>
      <c r="J278" s="32" t="s">
        <v>34</v>
      </c>
      <c r="K278" s="32" t="s">
        <v>42</v>
      </c>
      <c r="M278" s="30" t="n">
        <v>0</v>
      </c>
    </row>
    <row r="279" customFormat="false" ht="15" hidden="false" customHeight="false" outlineLevel="0" collapsed="false">
      <c r="A279" s="0" t="s">
        <v>703</v>
      </c>
      <c r="B279" s="0" t="s">
        <v>226</v>
      </c>
      <c r="C279" s="0" t="s">
        <v>73</v>
      </c>
      <c r="D279" s="0" t="s">
        <v>98</v>
      </c>
      <c r="E279" s="0" t="n">
        <v>41</v>
      </c>
      <c r="F279" s="30" t="n">
        <v>0</v>
      </c>
      <c r="G279" s="31" t="n">
        <v>45624</v>
      </c>
      <c r="H279" s="31" t="n">
        <v>45656</v>
      </c>
      <c r="I279" s="0" t="n">
        <v>32</v>
      </c>
      <c r="J279" s="32" t="s">
        <v>34</v>
      </c>
      <c r="K279" s="32" t="s">
        <v>64</v>
      </c>
      <c r="L279" s="32" t="s">
        <v>704</v>
      </c>
      <c r="M279" s="30" t="n">
        <v>4776</v>
      </c>
    </row>
    <row r="280" customFormat="false" ht="15" hidden="false" customHeight="false" outlineLevel="0" collapsed="false">
      <c r="A280" s="0" t="s">
        <v>705</v>
      </c>
      <c r="B280" s="0" t="s">
        <v>706</v>
      </c>
      <c r="C280" s="0" t="s">
        <v>73</v>
      </c>
      <c r="D280" s="0" t="s">
        <v>93</v>
      </c>
      <c r="E280" s="0" t="n">
        <v>6</v>
      </c>
      <c r="F280" s="30" t="n">
        <v>1194</v>
      </c>
      <c r="G280" s="31" t="n">
        <v>45630</v>
      </c>
      <c r="H280" s="31" t="n">
        <v>45646</v>
      </c>
      <c r="I280" s="0" t="n">
        <v>16</v>
      </c>
      <c r="J280" s="32" t="s">
        <v>34</v>
      </c>
      <c r="K280" s="32" t="s">
        <v>64</v>
      </c>
      <c r="L280" s="32" t="s">
        <v>707</v>
      </c>
      <c r="M280" s="30" t="n">
        <v>995</v>
      </c>
    </row>
    <row r="281" customFormat="false" ht="15" hidden="false" customHeight="false" outlineLevel="0" collapsed="false">
      <c r="A281" s="0" t="s">
        <v>708</v>
      </c>
      <c r="B281" s="0" t="s">
        <v>650</v>
      </c>
      <c r="C281" s="0" t="s">
        <v>71</v>
      </c>
      <c r="D281" s="0" t="s">
        <v>98</v>
      </c>
      <c r="E281" s="0" t="n">
        <v>19</v>
      </c>
      <c r="F281" s="30" t="n">
        <v>0</v>
      </c>
      <c r="G281" s="31" t="n">
        <v>45654</v>
      </c>
      <c r="H281" s="31" t="n">
        <v>45656</v>
      </c>
      <c r="I281" s="0" t="n">
        <v>2</v>
      </c>
      <c r="J281" s="32" t="s">
        <v>34</v>
      </c>
      <c r="K281" s="32" t="s">
        <v>64</v>
      </c>
      <c r="L281" s="32" t="s">
        <v>709</v>
      </c>
      <c r="M281" s="30" t="n">
        <v>380</v>
      </c>
    </row>
    <row r="282" customFormat="false" ht="15" hidden="false" customHeight="false" outlineLevel="0" collapsed="false">
      <c r="A282" s="0" t="s">
        <v>710</v>
      </c>
      <c r="B282" s="0" t="s">
        <v>711</v>
      </c>
      <c r="C282" s="0" t="s">
        <v>72</v>
      </c>
      <c r="D282" s="0" t="s">
        <v>93</v>
      </c>
      <c r="E282" s="0" t="n">
        <v>17</v>
      </c>
      <c r="F282" s="30" t="n">
        <v>833</v>
      </c>
      <c r="G282" s="31" t="n">
        <v>45622</v>
      </c>
      <c r="H282" s="31" t="n">
        <v>45657</v>
      </c>
      <c r="I282" s="0" t="n">
        <v>35</v>
      </c>
      <c r="J282" s="32" t="s">
        <v>34</v>
      </c>
      <c r="K282" s="32" t="s">
        <v>64</v>
      </c>
      <c r="L282" s="32" t="s">
        <v>712</v>
      </c>
      <c r="M282" s="30" t="n">
        <v>490</v>
      </c>
    </row>
    <row r="283" customFormat="false" ht="15" hidden="false" customHeight="false" outlineLevel="0" collapsed="false">
      <c r="A283" s="0" t="s">
        <v>713</v>
      </c>
      <c r="B283" s="0" t="s">
        <v>156</v>
      </c>
      <c r="C283" s="0" t="s">
        <v>71</v>
      </c>
      <c r="D283" s="0" t="s">
        <v>93</v>
      </c>
      <c r="E283" s="0" t="n">
        <v>19</v>
      </c>
      <c r="F283" s="30" t="n">
        <v>361</v>
      </c>
      <c r="G283" s="31" t="n">
        <v>45560</v>
      </c>
      <c r="H283" s="31" t="n">
        <v>45612</v>
      </c>
      <c r="I283" s="0" t="n">
        <v>52</v>
      </c>
      <c r="J283" s="32" t="s">
        <v>34</v>
      </c>
      <c r="K283" s="32" t="s">
        <v>64</v>
      </c>
      <c r="L283" s="32" t="s">
        <v>714</v>
      </c>
      <c r="M283" s="30" t="n">
        <v>0</v>
      </c>
    </row>
    <row r="284" customFormat="false" ht="15" hidden="false" customHeight="false" outlineLevel="0" collapsed="false">
      <c r="A284" s="0" t="s">
        <v>715</v>
      </c>
      <c r="B284" s="0" t="s">
        <v>716</v>
      </c>
      <c r="C284" s="0" t="s">
        <v>71</v>
      </c>
      <c r="D284" s="0" t="s">
        <v>93</v>
      </c>
      <c r="E284" s="0" t="n">
        <v>35</v>
      </c>
      <c r="F284" s="30" t="n">
        <v>665</v>
      </c>
      <c r="G284" s="31" t="n">
        <v>45201</v>
      </c>
      <c r="H284" s="31" t="n">
        <v>45415</v>
      </c>
      <c r="I284" s="0" t="n">
        <v>214</v>
      </c>
      <c r="J284" s="32" t="s">
        <v>32</v>
      </c>
      <c r="K284" s="32" t="s">
        <v>43</v>
      </c>
      <c r="M284" s="30" t="n">
        <v>0</v>
      </c>
    </row>
    <row r="285" customFormat="false" ht="15" hidden="false" customHeight="false" outlineLevel="0" collapsed="false">
      <c r="A285" s="0" t="s">
        <v>717</v>
      </c>
      <c r="B285" s="0" t="s">
        <v>306</v>
      </c>
      <c r="C285" s="0" t="s">
        <v>73</v>
      </c>
      <c r="D285" s="0" t="s">
        <v>93</v>
      </c>
      <c r="E285" s="0" t="n">
        <v>21</v>
      </c>
      <c r="F285" s="30" t="n">
        <v>4179</v>
      </c>
      <c r="G285" s="31" t="n">
        <v>45222</v>
      </c>
      <c r="H285" s="31" t="n">
        <v>45525</v>
      </c>
      <c r="I285" s="0" t="n">
        <v>303</v>
      </c>
      <c r="J285" s="32" t="s">
        <v>33</v>
      </c>
      <c r="K285" s="32" t="s">
        <v>43</v>
      </c>
      <c r="M285" s="30" t="n">
        <v>0</v>
      </c>
    </row>
    <row r="286" customFormat="false" ht="15" hidden="false" customHeight="false" outlineLevel="0" collapsed="false">
      <c r="A286" s="0" t="s">
        <v>718</v>
      </c>
      <c r="B286" s="0" t="s">
        <v>362</v>
      </c>
      <c r="C286" s="0" t="s">
        <v>71</v>
      </c>
      <c r="D286" s="0" t="s">
        <v>93</v>
      </c>
      <c r="E286" s="0" t="n">
        <v>85</v>
      </c>
      <c r="F286" s="30" t="n">
        <v>1615</v>
      </c>
      <c r="G286" s="31" t="n">
        <v>45472</v>
      </c>
      <c r="H286" s="31" t="n">
        <v>45616</v>
      </c>
      <c r="I286" s="0" t="n">
        <v>144</v>
      </c>
      <c r="J286" s="32" t="s">
        <v>34</v>
      </c>
      <c r="K286" s="32" t="s">
        <v>64</v>
      </c>
      <c r="L286" s="32" t="s">
        <v>719</v>
      </c>
      <c r="M286" s="30" t="n">
        <v>361</v>
      </c>
    </row>
    <row r="287" customFormat="false" ht="15" hidden="false" customHeight="false" outlineLevel="0" collapsed="false">
      <c r="A287" s="0" t="s">
        <v>720</v>
      </c>
      <c r="B287" s="0" t="s">
        <v>721</v>
      </c>
      <c r="C287" s="0" t="s">
        <v>73</v>
      </c>
      <c r="D287" s="0" t="s">
        <v>93</v>
      </c>
      <c r="E287" s="0" t="n">
        <v>14</v>
      </c>
      <c r="F287" s="30" t="n">
        <v>2786</v>
      </c>
      <c r="G287" s="31" t="n">
        <v>45561</v>
      </c>
      <c r="H287" s="31" t="n">
        <v>45655</v>
      </c>
      <c r="I287" s="0" t="n">
        <v>94</v>
      </c>
      <c r="J287" s="32" t="s">
        <v>34</v>
      </c>
      <c r="K287" s="32" t="s">
        <v>43</v>
      </c>
      <c r="M287" s="30" t="n">
        <v>0</v>
      </c>
    </row>
    <row r="288" customFormat="false" ht="15" hidden="false" customHeight="false" outlineLevel="0" collapsed="false">
      <c r="A288" s="0" t="s">
        <v>722</v>
      </c>
      <c r="B288" s="0" t="s">
        <v>723</v>
      </c>
      <c r="C288" s="0" t="s">
        <v>73</v>
      </c>
      <c r="D288" s="0" t="s">
        <v>93</v>
      </c>
      <c r="E288" s="0" t="n">
        <v>26</v>
      </c>
      <c r="F288" s="30" t="n">
        <v>5174</v>
      </c>
      <c r="G288" s="31" t="n">
        <v>45324</v>
      </c>
      <c r="H288" s="31" t="n">
        <v>45415</v>
      </c>
      <c r="I288" s="0" t="n">
        <v>91</v>
      </c>
      <c r="J288" s="32" t="s">
        <v>32</v>
      </c>
      <c r="K288" s="32" t="s">
        <v>43</v>
      </c>
      <c r="M288" s="30" t="n">
        <v>0</v>
      </c>
    </row>
    <row r="289" customFormat="false" ht="15" hidden="false" customHeight="false" outlineLevel="0" collapsed="false">
      <c r="A289" s="0" t="s">
        <v>724</v>
      </c>
      <c r="B289" s="0" t="s">
        <v>725</v>
      </c>
      <c r="C289" s="0" t="s">
        <v>72</v>
      </c>
      <c r="D289" s="0" t="s">
        <v>93</v>
      </c>
      <c r="E289" s="0" t="n">
        <v>29</v>
      </c>
      <c r="F289" s="30" t="n">
        <v>1421</v>
      </c>
      <c r="G289" s="31" t="n">
        <v>45504</v>
      </c>
      <c r="H289" s="31" t="n">
        <v>45606</v>
      </c>
      <c r="I289" s="0" t="n">
        <v>102</v>
      </c>
      <c r="J289" s="32" t="s">
        <v>34</v>
      </c>
      <c r="K289" s="32" t="s">
        <v>43</v>
      </c>
      <c r="M289" s="30" t="n">
        <v>0</v>
      </c>
    </row>
    <row r="290" customFormat="false" ht="15" hidden="false" customHeight="false" outlineLevel="0" collapsed="false">
      <c r="A290" s="0" t="s">
        <v>726</v>
      </c>
      <c r="B290" s="0" t="s">
        <v>688</v>
      </c>
      <c r="C290" s="0" t="s">
        <v>71</v>
      </c>
      <c r="D290" s="0" t="s">
        <v>93</v>
      </c>
      <c r="E290" s="0" t="n">
        <v>44</v>
      </c>
      <c r="F290" s="30" t="n">
        <v>836</v>
      </c>
      <c r="G290" s="31" t="n">
        <v>45376</v>
      </c>
      <c r="H290" s="31" t="n">
        <v>45546</v>
      </c>
      <c r="I290" s="0" t="n">
        <v>170</v>
      </c>
      <c r="J290" s="32" t="s">
        <v>33</v>
      </c>
      <c r="K290" s="32" t="s">
        <v>43</v>
      </c>
      <c r="M290" s="30" t="n">
        <v>0</v>
      </c>
    </row>
    <row r="291" customFormat="false" ht="15" hidden="false" customHeight="false" outlineLevel="0" collapsed="false">
      <c r="A291" s="0" t="s">
        <v>727</v>
      </c>
      <c r="B291" s="0" t="s">
        <v>284</v>
      </c>
      <c r="C291" s="0" t="s">
        <v>71</v>
      </c>
      <c r="D291" s="0" t="s">
        <v>93</v>
      </c>
      <c r="E291" s="0" t="n">
        <v>12</v>
      </c>
      <c r="F291" s="30" t="n">
        <v>228</v>
      </c>
      <c r="G291" s="31" t="n">
        <v>45147</v>
      </c>
      <c r="H291" s="31" t="n">
        <v>45579</v>
      </c>
      <c r="I291" s="0" t="n">
        <v>432</v>
      </c>
      <c r="J291" s="32" t="s">
        <v>34</v>
      </c>
      <c r="K291" s="32" t="s">
        <v>64</v>
      </c>
      <c r="L291" s="32" t="s">
        <v>728</v>
      </c>
      <c r="M291" s="30" t="n">
        <v>2189</v>
      </c>
    </row>
    <row r="292" customFormat="false" ht="15" hidden="false" customHeight="false" outlineLevel="0" collapsed="false">
      <c r="A292" s="0" t="s">
        <v>729</v>
      </c>
      <c r="B292" s="0" t="s">
        <v>299</v>
      </c>
      <c r="C292" s="0" t="s">
        <v>73</v>
      </c>
      <c r="D292" s="0" t="s">
        <v>93</v>
      </c>
      <c r="E292" s="0" t="n">
        <v>15</v>
      </c>
      <c r="F292" s="30" t="n">
        <v>2985</v>
      </c>
      <c r="G292" s="31" t="n">
        <v>45643</v>
      </c>
      <c r="H292" s="31" t="n">
        <v>45655</v>
      </c>
      <c r="I292" s="0" t="n">
        <v>12</v>
      </c>
      <c r="J292" s="32" t="s">
        <v>34</v>
      </c>
      <c r="K292" s="32" t="s">
        <v>64</v>
      </c>
      <c r="L292" s="32" t="s">
        <v>730</v>
      </c>
      <c r="M292" s="30" t="n">
        <v>0</v>
      </c>
    </row>
    <row r="293" customFormat="false" ht="15" hidden="false" customHeight="false" outlineLevel="0" collapsed="false">
      <c r="A293" s="0" t="s">
        <v>731</v>
      </c>
      <c r="B293" s="0" t="s">
        <v>732</v>
      </c>
      <c r="C293" s="0" t="s">
        <v>71</v>
      </c>
      <c r="D293" s="0" t="s">
        <v>93</v>
      </c>
      <c r="E293" s="0" t="n">
        <v>25</v>
      </c>
      <c r="F293" s="30" t="n">
        <v>475</v>
      </c>
      <c r="G293" s="31" t="n">
        <v>45656</v>
      </c>
      <c r="H293" s="31" t="n">
        <v>45657</v>
      </c>
      <c r="I293" s="0" t="n">
        <v>1</v>
      </c>
      <c r="J293" s="32" t="s">
        <v>34</v>
      </c>
      <c r="K293" s="32" t="s">
        <v>64</v>
      </c>
      <c r="L293" s="32" t="s">
        <v>733</v>
      </c>
      <c r="M293" s="30" t="n">
        <v>147</v>
      </c>
    </row>
    <row r="294" customFormat="false" ht="15" hidden="false" customHeight="false" outlineLevel="0" collapsed="false">
      <c r="A294" s="0" t="s">
        <v>734</v>
      </c>
      <c r="B294" s="0" t="s">
        <v>735</v>
      </c>
      <c r="C294" s="0" t="s">
        <v>72</v>
      </c>
      <c r="D294" s="0" t="s">
        <v>93</v>
      </c>
      <c r="E294" s="0" t="n">
        <v>1</v>
      </c>
      <c r="F294" s="30" t="n">
        <v>49</v>
      </c>
      <c r="G294" s="31" t="n">
        <v>45550</v>
      </c>
      <c r="H294" s="31" t="n">
        <v>45567</v>
      </c>
      <c r="I294" s="0" t="n">
        <v>17</v>
      </c>
      <c r="J294" s="32" t="s">
        <v>34</v>
      </c>
      <c r="K294" s="32" t="s">
        <v>43</v>
      </c>
      <c r="M294" s="30" t="n">
        <v>0</v>
      </c>
    </row>
    <row r="295" customFormat="false" ht="15" hidden="false" customHeight="false" outlineLevel="0" collapsed="false">
      <c r="A295" s="0" t="s">
        <v>736</v>
      </c>
      <c r="B295" s="0" t="s">
        <v>737</v>
      </c>
      <c r="C295" s="0" t="s">
        <v>73</v>
      </c>
      <c r="D295" s="0" t="s">
        <v>93</v>
      </c>
      <c r="E295" s="0" t="n">
        <v>45</v>
      </c>
      <c r="F295" s="30" t="n">
        <v>8955</v>
      </c>
      <c r="G295" s="31" t="n">
        <v>45632</v>
      </c>
      <c r="H295" s="31" t="n">
        <v>45636</v>
      </c>
      <c r="I295" s="0" t="n">
        <v>4</v>
      </c>
      <c r="J295" s="32" t="s">
        <v>34</v>
      </c>
      <c r="K295" s="32" t="s">
        <v>42</v>
      </c>
      <c r="M295" s="30" t="n">
        <v>0</v>
      </c>
    </row>
    <row r="296" customFormat="false" ht="15" hidden="false" customHeight="false" outlineLevel="0" collapsed="false">
      <c r="A296" s="0" t="s">
        <v>738</v>
      </c>
      <c r="B296" s="0" t="s">
        <v>739</v>
      </c>
      <c r="C296" s="0" t="s">
        <v>73</v>
      </c>
      <c r="D296" s="0" t="s">
        <v>93</v>
      </c>
      <c r="E296" s="0" t="n">
        <v>32</v>
      </c>
      <c r="F296" s="30" t="n">
        <v>6368</v>
      </c>
      <c r="G296" s="31" t="n">
        <v>45156</v>
      </c>
      <c r="H296" s="31" t="n">
        <v>45231</v>
      </c>
      <c r="I296" s="0" t="n">
        <v>75</v>
      </c>
      <c r="J296" s="32" t="s">
        <v>30</v>
      </c>
      <c r="K296" s="32" t="s">
        <v>43</v>
      </c>
      <c r="M296" s="30" t="n">
        <v>0</v>
      </c>
    </row>
    <row r="297" customFormat="false" ht="15" hidden="false" customHeight="false" outlineLevel="0" collapsed="false">
      <c r="A297" s="0" t="s">
        <v>740</v>
      </c>
      <c r="B297" s="0" t="s">
        <v>741</v>
      </c>
      <c r="C297" s="0" t="s">
        <v>72</v>
      </c>
      <c r="D297" s="0" t="s">
        <v>93</v>
      </c>
      <c r="E297" s="0" t="n">
        <v>9</v>
      </c>
      <c r="F297" s="30" t="n">
        <v>441</v>
      </c>
      <c r="G297" s="31" t="n">
        <v>45638</v>
      </c>
      <c r="H297" s="31" t="n">
        <v>45655</v>
      </c>
      <c r="I297" s="0" t="n">
        <v>17</v>
      </c>
      <c r="J297" s="32" t="s">
        <v>34</v>
      </c>
      <c r="K297" s="32" t="s">
        <v>64</v>
      </c>
      <c r="L297" s="32" t="s">
        <v>742</v>
      </c>
      <c r="M297" s="30" t="n">
        <v>0</v>
      </c>
    </row>
    <row r="298" customFormat="false" ht="15" hidden="false" customHeight="false" outlineLevel="0" collapsed="false">
      <c r="A298" s="0" t="s">
        <v>743</v>
      </c>
      <c r="B298" s="0" t="s">
        <v>744</v>
      </c>
      <c r="C298" s="0" t="s">
        <v>71</v>
      </c>
      <c r="D298" s="0" t="s">
        <v>93</v>
      </c>
      <c r="E298" s="0" t="n">
        <v>42</v>
      </c>
      <c r="F298" s="30" t="n">
        <v>798</v>
      </c>
      <c r="G298" s="31" t="n">
        <v>45124</v>
      </c>
      <c r="H298" s="31" t="n">
        <v>45208</v>
      </c>
      <c r="I298" s="0" t="n">
        <v>84</v>
      </c>
      <c r="J298" s="32" t="s">
        <v>30</v>
      </c>
      <c r="K298" s="32" t="s">
        <v>43</v>
      </c>
      <c r="M298" s="30" t="n">
        <v>0</v>
      </c>
    </row>
    <row r="299" customFormat="false" ht="15" hidden="false" customHeight="false" outlineLevel="0" collapsed="false">
      <c r="A299" s="0" t="s">
        <v>745</v>
      </c>
      <c r="B299" s="0" t="s">
        <v>746</v>
      </c>
      <c r="C299" s="0" t="s">
        <v>73</v>
      </c>
      <c r="D299" s="0" t="s">
        <v>98</v>
      </c>
      <c r="E299" s="0" t="n">
        <v>8</v>
      </c>
      <c r="F299" s="30" t="n">
        <v>0</v>
      </c>
      <c r="G299" s="31" t="n">
        <v>45568</v>
      </c>
      <c r="H299" s="31" t="n">
        <v>45646</v>
      </c>
      <c r="I299" s="0" t="n">
        <v>78</v>
      </c>
      <c r="J299" s="32" t="s">
        <v>34</v>
      </c>
      <c r="K299" s="32" t="s">
        <v>64</v>
      </c>
      <c r="L299" s="32" t="s">
        <v>747</v>
      </c>
      <c r="M299" s="30" t="n">
        <v>3184</v>
      </c>
    </row>
    <row r="300" customFormat="false" ht="15" hidden="false" customHeight="false" outlineLevel="0" collapsed="false">
      <c r="A300" s="0" t="s">
        <v>748</v>
      </c>
      <c r="B300" s="0" t="s">
        <v>350</v>
      </c>
      <c r="C300" s="0" t="s">
        <v>73</v>
      </c>
      <c r="D300" s="0" t="s">
        <v>93</v>
      </c>
      <c r="E300" s="0" t="n">
        <v>29</v>
      </c>
      <c r="F300" s="30" t="n">
        <v>5771</v>
      </c>
      <c r="G300" s="31" t="n">
        <v>45445</v>
      </c>
      <c r="H300" s="31" t="n">
        <v>45548</v>
      </c>
      <c r="I300" s="0" t="n">
        <v>103</v>
      </c>
      <c r="J300" s="32" t="s">
        <v>33</v>
      </c>
      <c r="K300" s="32" t="s">
        <v>44</v>
      </c>
      <c r="M300" s="30" t="n">
        <v>0</v>
      </c>
    </row>
    <row r="301" customFormat="false" ht="15" hidden="false" customHeight="false" outlineLevel="0" collapsed="false">
      <c r="A301" s="0" t="s">
        <v>749</v>
      </c>
      <c r="B301" s="0" t="s">
        <v>750</v>
      </c>
      <c r="C301" s="0" t="s">
        <v>72</v>
      </c>
      <c r="D301" s="0" t="s">
        <v>93</v>
      </c>
      <c r="E301" s="0" t="n">
        <v>9</v>
      </c>
      <c r="F301" s="30" t="n">
        <v>441</v>
      </c>
      <c r="G301" s="31" t="n">
        <v>45488</v>
      </c>
      <c r="H301" s="31" t="n">
        <v>45653</v>
      </c>
      <c r="I301" s="0" t="n">
        <v>165</v>
      </c>
      <c r="J301" s="32" t="s">
        <v>34</v>
      </c>
      <c r="K301" s="32" t="s">
        <v>43</v>
      </c>
      <c r="M301" s="30" t="n">
        <v>0</v>
      </c>
    </row>
    <row r="302" customFormat="false" ht="15" hidden="false" customHeight="false" outlineLevel="0" collapsed="false">
      <c r="A302" s="0" t="s">
        <v>751</v>
      </c>
      <c r="B302" s="0" t="s">
        <v>573</v>
      </c>
      <c r="C302" s="0" t="s">
        <v>72</v>
      </c>
      <c r="D302" s="0" t="s">
        <v>93</v>
      </c>
      <c r="E302" s="0" t="n">
        <v>23</v>
      </c>
      <c r="F302" s="30" t="n">
        <v>1127</v>
      </c>
      <c r="G302" s="31" t="n">
        <v>45585</v>
      </c>
      <c r="H302" s="31" t="n">
        <v>45623</v>
      </c>
      <c r="I302" s="0" t="n">
        <v>38</v>
      </c>
      <c r="J302" s="32" t="s">
        <v>34</v>
      </c>
      <c r="K302" s="32" t="s">
        <v>43</v>
      </c>
      <c r="M302" s="30" t="n">
        <v>0</v>
      </c>
    </row>
    <row r="303" customFormat="false" ht="15" hidden="false" customHeight="false" outlineLevel="0" collapsed="false">
      <c r="A303" s="0" t="s">
        <v>752</v>
      </c>
      <c r="B303" s="0" t="s">
        <v>103</v>
      </c>
      <c r="C303" s="0" t="s">
        <v>72</v>
      </c>
      <c r="D303" s="0" t="s">
        <v>93</v>
      </c>
      <c r="E303" s="0" t="n">
        <v>61</v>
      </c>
      <c r="F303" s="30" t="n">
        <v>2989</v>
      </c>
      <c r="G303" s="31" t="n">
        <v>45305</v>
      </c>
      <c r="H303" s="31" t="n">
        <v>45352</v>
      </c>
      <c r="I303" s="0" t="n">
        <v>47</v>
      </c>
      <c r="J303" s="32" t="s">
        <v>31</v>
      </c>
      <c r="K303" s="32" t="s">
        <v>43</v>
      </c>
      <c r="M303" s="30" t="n">
        <v>0</v>
      </c>
    </row>
    <row r="304" customFormat="false" ht="15" hidden="false" customHeight="false" outlineLevel="0" collapsed="false">
      <c r="A304" s="0" t="s">
        <v>753</v>
      </c>
      <c r="B304" s="0" t="s">
        <v>277</v>
      </c>
      <c r="C304" s="0" t="s">
        <v>73</v>
      </c>
      <c r="D304" s="0" t="s">
        <v>93</v>
      </c>
      <c r="E304" s="0" t="n">
        <v>69</v>
      </c>
      <c r="F304" s="30" t="n">
        <v>13731</v>
      </c>
      <c r="G304" s="31" t="n">
        <v>45578</v>
      </c>
      <c r="H304" s="31" t="n">
        <v>45620</v>
      </c>
      <c r="I304" s="0" t="n">
        <v>42</v>
      </c>
      <c r="J304" s="32" t="s">
        <v>34</v>
      </c>
      <c r="K304" s="32" t="s">
        <v>64</v>
      </c>
      <c r="L304" s="32" t="s">
        <v>754</v>
      </c>
      <c r="M304" s="30" t="n">
        <v>1311</v>
      </c>
    </row>
    <row r="305" customFormat="false" ht="15" hidden="false" customHeight="false" outlineLevel="0" collapsed="false">
      <c r="A305" s="0" t="s">
        <v>755</v>
      </c>
      <c r="B305" s="0" t="s">
        <v>396</v>
      </c>
      <c r="C305" s="0" t="s">
        <v>72</v>
      </c>
      <c r="D305" s="0" t="s">
        <v>98</v>
      </c>
      <c r="E305" s="0" t="n">
        <v>3</v>
      </c>
      <c r="F305" s="30" t="n">
        <v>0</v>
      </c>
      <c r="G305" s="31" t="n">
        <v>45575</v>
      </c>
      <c r="H305" s="31" t="n">
        <v>45612</v>
      </c>
      <c r="I305" s="0" t="n">
        <v>37</v>
      </c>
      <c r="J305" s="32" t="s">
        <v>34</v>
      </c>
      <c r="K305" s="32" t="s">
        <v>64</v>
      </c>
      <c r="L305" s="32" t="s">
        <v>756</v>
      </c>
      <c r="M305" s="30" t="n">
        <v>147</v>
      </c>
    </row>
    <row r="306" customFormat="false" ht="15" hidden="false" customHeight="false" outlineLevel="0" collapsed="false">
      <c r="A306" s="0" t="s">
        <v>757</v>
      </c>
      <c r="B306" s="0" t="s">
        <v>758</v>
      </c>
      <c r="C306" s="0" t="s">
        <v>71</v>
      </c>
      <c r="D306" s="0" t="s">
        <v>93</v>
      </c>
      <c r="E306" s="0" t="n">
        <v>14</v>
      </c>
      <c r="F306" s="30" t="n">
        <v>266</v>
      </c>
      <c r="G306" s="31" t="n">
        <v>45546</v>
      </c>
      <c r="H306" s="31" t="n">
        <v>45562</v>
      </c>
      <c r="I306" s="0" t="n">
        <v>16</v>
      </c>
      <c r="J306" s="32" t="s">
        <v>33</v>
      </c>
      <c r="K306" s="32" t="s">
        <v>64</v>
      </c>
      <c r="L306" s="32" t="s">
        <v>759</v>
      </c>
      <c r="M306" s="30" t="n">
        <v>551</v>
      </c>
    </row>
    <row r="307" customFormat="false" ht="15" hidden="false" customHeight="false" outlineLevel="0" collapsed="false">
      <c r="A307" s="0" t="s">
        <v>760</v>
      </c>
      <c r="B307" s="0" t="s">
        <v>761</v>
      </c>
      <c r="C307" s="0" t="s">
        <v>73</v>
      </c>
      <c r="D307" s="0" t="s">
        <v>93</v>
      </c>
      <c r="E307" s="0" t="n">
        <v>28</v>
      </c>
      <c r="F307" s="30" t="n">
        <v>5572</v>
      </c>
      <c r="G307" s="31" t="n">
        <v>45641</v>
      </c>
      <c r="H307" s="31" t="n">
        <v>45643</v>
      </c>
      <c r="I307" s="0" t="n">
        <v>2</v>
      </c>
      <c r="J307" s="32" t="s">
        <v>34</v>
      </c>
      <c r="K307" s="32" t="s">
        <v>64</v>
      </c>
      <c r="L307" s="32" t="s">
        <v>762</v>
      </c>
      <c r="M307" s="30" t="n">
        <v>1990</v>
      </c>
    </row>
    <row r="308" customFormat="false" ht="15" hidden="false" customHeight="false" outlineLevel="0" collapsed="false">
      <c r="A308" s="0" t="s">
        <v>763</v>
      </c>
      <c r="B308" s="0" t="s">
        <v>764</v>
      </c>
      <c r="C308" s="0" t="s">
        <v>72</v>
      </c>
      <c r="D308" s="0" t="s">
        <v>93</v>
      </c>
      <c r="E308" s="0" t="n">
        <v>12</v>
      </c>
      <c r="F308" s="30" t="n">
        <v>588</v>
      </c>
      <c r="G308" s="31" t="n">
        <v>45519</v>
      </c>
      <c r="H308" s="31" t="n">
        <v>45607</v>
      </c>
      <c r="I308" s="0" t="n">
        <v>88</v>
      </c>
      <c r="J308" s="32" t="s">
        <v>34</v>
      </c>
      <c r="K308" s="32" t="s">
        <v>43</v>
      </c>
      <c r="M308" s="30" t="n">
        <v>0</v>
      </c>
    </row>
    <row r="309" customFormat="false" ht="15" hidden="false" customHeight="false" outlineLevel="0" collapsed="false">
      <c r="A309" s="0" t="s">
        <v>765</v>
      </c>
      <c r="B309" s="0" t="s">
        <v>766</v>
      </c>
      <c r="C309" s="0" t="s">
        <v>73</v>
      </c>
      <c r="D309" s="0" t="s">
        <v>93</v>
      </c>
      <c r="E309" s="0" t="n">
        <v>23</v>
      </c>
      <c r="F309" s="30" t="n">
        <v>4577</v>
      </c>
      <c r="G309" s="31" t="n">
        <v>45243</v>
      </c>
      <c r="H309" s="31" t="n">
        <v>45623</v>
      </c>
      <c r="I309" s="0" t="n">
        <v>380</v>
      </c>
      <c r="J309" s="32" t="s">
        <v>34</v>
      </c>
      <c r="K309" s="32" t="s">
        <v>43</v>
      </c>
      <c r="M309" s="30" t="n">
        <v>0</v>
      </c>
    </row>
    <row r="310" customFormat="false" ht="15" hidden="false" customHeight="false" outlineLevel="0" collapsed="false">
      <c r="A310" s="0" t="s">
        <v>767</v>
      </c>
      <c r="B310" s="0" t="s">
        <v>269</v>
      </c>
      <c r="C310" s="0" t="s">
        <v>72</v>
      </c>
      <c r="D310" s="0" t="s">
        <v>93</v>
      </c>
      <c r="E310" s="0" t="n">
        <v>40</v>
      </c>
      <c r="F310" s="30" t="n">
        <v>1960</v>
      </c>
      <c r="G310" s="31" t="n">
        <v>45006</v>
      </c>
      <c r="H310" s="31" t="n">
        <v>45630</v>
      </c>
      <c r="I310" s="0" t="n">
        <v>624</v>
      </c>
      <c r="J310" s="32" t="s">
        <v>34</v>
      </c>
      <c r="K310" s="32" t="s">
        <v>64</v>
      </c>
      <c r="L310" s="32" t="s">
        <v>768</v>
      </c>
      <c r="M310" s="30" t="n">
        <v>1960</v>
      </c>
    </row>
    <row r="311" customFormat="false" ht="15" hidden="false" customHeight="false" outlineLevel="0" collapsed="false">
      <c r="A311" s="0" t="s">
        <v>769</v>
      </c>
      <c r="B311" s="0" t="s">
        <v>770</v>
      </c>
      <c r="C311" s="0" t="s">
        <v>73</v>
      </c>
      <c r="D311" s="0" t="s">
        <v>98</v>
      </c>
      <c r="E311" s="0" t="n">
        <v>72</v>
      </c>
      <c r="F311" s="30" t="n">
        <v>0</v>
      </c>
      <c r="G311" s="31" t="n">
        <v>45639</v>
      </c>
      <c r="H311" s="31" t="n">
        <v>45648</v>
      </c>
      <c r="I311" s="0" t="n">
        <v>9</v>
      </c>
      <c r="J311" s="32" t="s">
        <v>34</v>
      </c>
      <c r="K311" s="32" t="s">
        <v>64</v>
      </c>
      <c r="L311" s="32" t="s">
        <v>771</v>
      </c>
      <c r="M311" s="30" t="n">
        <v>2058</v>
      </c>
    </row>
    <row r="312" customFormat="false" ht="15" hidden="false" customHeight="false" outlineLevel="0" collapsed="false">
      <c r="A312" s="0" t="s">
        <v>772</v>
      </c>
      <c r="B312" s="0" t="s">
        <v>773</v>
      </c>
      <c r="C312" s="0" t="s">
        <v>73</v>
      </c>
      <c r="D312" s="0" t="s">
        <v>93</v>
      </c>
      <c r="E312" s="0" t="n">
        <v>16</v>
      </c>
      <c r="F312" s="30" t="n">
        <v>3184</v>
      </c>
      <c r="G312" s="31" t="n">
        <v>45157</v>
      </c>
      <c r="H312" s="31" t="n">
        <v>45257</v>
      </c>
      <c r="I312" s="0" t="n">
        <v>100</v>
      </c>
      <c r="J312" s="32" t="s">
        <v>30</v>
      </c>
      <c r="K312" s="32" t="s">
        <v>43</v>
      </c>
      <c r="M312" s="30" t="n">
        <v>0</v>
      </c>
    </row>
    <row r="313" customFormat="false" ht="15" hidden="false" customHeight="false" outlineLevel="0" collapsed="false">
      <c r="A313" s="0" t="s">
        <v>774</v>
      </c>
      <c r="B313" s="0" t="s">
        <v>775</v>
      </c>
      <c r="C313" s="0" t="s">
        <v>73</v>
      </c>
      <c r="D313" s="0" t="s">
        <v>93</v>
      </c>
      <c r="E313" s="0" t="n">
        <v>13</v>
      </c>
      <c r="F313" s="30" t="n">
        <v>2587</v>
      </c>
      <c r="G313" s="31" t="n">
        <v>45216</v>
      </c>
      <c r="H313" s="31" t="n">
        <v>45309</v>
      </c>
      <c r="I313" s="0" t="n">
        <v>93</v>
      </c>
      <c r="J313" s="32" t="s">
        <v>31</v>
      </c>
      <c r="K313" s="32" t="s">
        <v>43</v>
      </c>
      <c r="M313" s="30" t="n">
        <v>0</v>
      </c>
    </row>
    <row r="314" customFormat="false" ht="15" hidden="false" customHeight="false" outlineLevel="0" collapsed="false">
      <c r="A314" s="0" t="s">
        <v>776</v>
      </c>
      <c r="B314" s="0" t="s">
        <v>777</v>
      </c>
      <c r="C314" s="0" t="s">
        <v>73</v>
      </c>
      <c r="D314" s="0" t="s">
        <v>93</v>
      </c>
      <c r="E314" s="0" t="n">
        <v>14</v>
      </c>
      <c r="F314" s="30" t="n">
        <v>2786</v>
      </c>
      <c r="G314" s="31" t="n">
        <v>45522</v>
      </c>
      <c r="H314" s="31" t="n">
        <v>45593</v>
      </c>
      <c r="I314" s="0" t="n">
        <v>71</v>
      </c>
      <c r="J314" s="32" t="s">
        <v>34</v>
      </c>
      <c r="K314" s="32" t="s">
        <v>43</v>
      </c>
      <c r="M314" s="30" t="n">
        <v>0</v>
      </c>
    </row>
    <row r="315" customFormat="false" ht="15" hidden="false" customHeight="false" outlineLevel="0" collapsed="false">
      <c r="A315" s="0" t="s">
        <v>778</v>
      </c>
      <c r="B315" s="0" t="s">
        <v>334</v>
      </c>
      <c r="C315" s="0" t="s">
        <v>71</v>
      </c>
      <c r="D315" s="0" t="s">
        <v>93</v>
      </c>
      <c r="E315" s="0" t="n">
        <v>44</v>
      </c>
      <c r="F315" s="30" t="n">
        <v>836</v>
      </c>
      <c r="G315" s="31" t="n">
        <v>45655</v>
      </c>
      <c r="H315" s="31" t="n">
        <v>45655</v>
      </c>
      <c r="I315" s="0" t="n">
        <v>0</v>
      </c>
      <c r="J315" s="32" t="s">
        <v>34</v>
      </c>
      <c r="K315" s="32" t="s">
        <v>42</v>
      </c>
      <c r="M315" s="30" t="n">
        <v>0</v>
      </c>
    </row>
    <row r="316" customFormat="false" ht="15" hidden="false" customHeight="false" outlineLevel="0" collapsed="false">
      <c r="A316" s="0" t="s">
        <v>779</v>
      </c>
      <c r="B316" s="0" t="s">
        <v>780</v>
      </c>
      <c r="C316" s="0" t="s">
        <v>71</v>
      </c>
      <c r="D316" s="0" t="s">
        <v>93</v>
      </c>
      <c r="E316" s="0" t="n">
        <v>9</v>
      </c>
      <c r="F316" s="30" t="n">
        <v>171</v>
      </c>
      <c r="G316" s="31" t="n">
        <v>45437</v>
      </c>
      <c r="H316" s="31" t="n">
        <v>45558</v>
      </c>
      <c r="I316" s="0" t="n">
        <v>121</v>
      </c>
      <c r="J316" s="32" t="s">
        <v>33</v>
      </c>
      <c r="K316" s="32" t="s">
        <v>43</v>
      </c>
      <c r="M316" s="30" t="n">
        <v>0</v>
      </c>
    </row>
    <row r="317" customFormat="false" ht="15" hidden="false" customHeight="false" outlineLevel="0" collapsed="false">
      <c r="A317" s="0" t="s">
        <v>781</v>
      </c>
      <c r="B317" s="0" t="s">
        <v>735</v>
      </c>
      <c r="C317" s="0" t="s">
        <v>71</v>
      </c>
      <c r="D317" s="0" t="s">
        <v>93</v>
      </c>
      <c r="E317" s="0" t="n">
        <v>11</v>
      </c>
      <c r="F317" s="30" t="n">
        <v>209</v>
      </c>
      <c r="G317" s="31" t="n">
        <v>45463</v>
      </c>
      <c r="H317" s="31" t="n">
        <v>45656</v>
      </c>
      <c r="I317" s="0" t="n">
        <v>193</v>
      </c>
      <c r="J317" s="32" t="s">
        <v>34</v>
      </c>
      <c r="K317" s="32" t="s">
        <v>64</v>
      </c>
      <c r="L317" s="32" t="s">
        <v>782</v>
      </c>
      <c r="M317" s="30" t="n">
        <v>551</v>
      </c>
    </row>
    <row r="318" customFormat="false" ht="15" hidden="false" customHeight="false" outlineLevel="0" collapsed="false">
      <c r="A318" s="0" t="s">
        <v>783</v>
      </c>
      <c r="B318" s="0" t="s">
        <v>286</v>
      </c>
      <c r="C318" s="0" t="s">
        <v>72</v>
      </c>
      <c r="D318" s="0" t="s">
        <v>93</v>
      </c>
      <c r="E318" s="0" t="n">
        <v>28</v>
      </c>
      <c r="F318" s="30" t="n">
        <v>1372</v>
      </c>
      <c r="G318" s="31" t="n">
        <v>45597</v>
      </c>
      <c r="H318" s="31" t="n">
        <v>45598</v>
      </c>
      <c r="I318" s="0" t="n">
        <v>1</v>
      </c>
      <c r="J318" s="32" t="s">
        <v>34</v>
      </c>
      <c r="K318" s="32" t="s">
        <v>64</v>
      </c>
      <c r="L318" s="32" t="s">
        <v>784</v>
      </c>
      <c r="M318" s="30" t="n">
        <v>0</v>
      </c>
    </row>
    <row r="319" customFormat="false" ht="15" hidden="false" customHeight="false" outlineLevel="0" collapsed="false">
      <c r="A319" s="0" t="s">
        <v>785</v>
      </c>
      <c r="B319" s="0" t="s">
        <v>676</v>
      </c>
      <c r="C319" s="0" t="s">
        <v>72</v>
      </c>
      <c r="D319" s="0" t="s">
        <v>93</v>
      </c>
      <c r="E319" s="0" t="n">
        <v>7</v>
      </c>
      <c r="F319" s="30" t="n">
        <v>343</v>
      </c>
      <c r="G319" s="31" t="n">
        <v>45359</v>
      </c>
      <c r="H319" s="31" t="n">
        <v>45554</v>
      </c>
      <c r="I319" s="0" t="n">
        <v>195</v>
      </c>
      <c r="J319" s="32" t="s">
        <v>33</v>
      </c>
      <c r="K319" s="32" t="s">
        <v>64</v>
      </c>
      <c r="L319" s="32" t="s">
        <v>675</v>
      </c>
      <c r="M319" s="30" t="n">
        <v>343</v>
      </c>
    </row>
    <row r="320" customFormat="false" ht="15" hidden="false" customHeight="false" outlineLevel="0" collapsed="false">
      <c r="A320" s="0" t="s">
        <v>786</v>
      </c>
      <c r="B320" s="0" t="s">
        <v>787</v>
      </c>
      <c r="C320" s="0" t="s">
        <v>72</v>
      </c>
      <c r="D320" s="0" t="s">
        <v>98</v>
      </c>
      <c r="E320" s="0" t="n">
        <v>58</v>
      </c>
      <c r="F320" s="30" t="n">
        <v>0</v>
      </c>
      <c r="G320" s="31" t="n">
        <v>45497</v>
      </c>
      <c r="H320" s="31" t="n">
        <v>45514</v>
      </c>
      <c r="I320" s="0" t="n">
        <v>17</v>
      </c>
      <c r="J320" s="32" t="s">
        <v>33</v>
      </c>
      <c r="K320" s="32" t="s">
        <v>43</v>
      </c>
      <c r="M320" s="30" t="n">
        <v>0</v>
      </c>
    </row>
    <row r="321" customFormat="false" ht="15" hidden="false" customHeight="false" outlineLevel="0" collapsed="false">
      <c r="A321" s="0" t="s">
        <v>788</v>
      </c>
      <c r="B321" s="0" t="s">
        <v>425</v>
      </c>
      <c r="C321" s="0" t="s">
        <v>71</v>
      </c>
      <c r="D321" s="0" t="s">
        <v>93</v>
      </c>
      <c r="E321" s="0" t="n">
        <v>10</v>
      </c>
      <c r="F321" s="30" t="n">
        <v>190</v>
      </c>
      <c r="G321" s="31" t="n">
        <v>45414</v>
      </c>
      <c r="H321" s="31" t="n">
        <v>45492</v>
      </c>
      <c r="I321" s="0" t="n">
        <v>78</v>
      </c>
      <c r="J321" s="32" t="s">
        <v>33</v>
      </c>
      <c r="K321" s="32" t="s">
        <v>43</v>
      </c>
      <c r="M321" s="30" t="n">
        <v>0</v>
      </c>
    </row>
    <row r="322" customFormat="false" ht="15" hidden="false" customHeight="false" outlineLevel="0" collapsed="false">
      <c r="A322" s="0" t="s">
        <v>789</v>
      </c>
      <c r="B322" s="0" t="s">
        <v>790</v>
      </c>
      <c r="C322" s="0" t="s">
        <v>73</v>
      </c>
      <c r="D322" s="0" t="s">
        <v>93</v>
      </c>
      <c r="E322" s="0" t="n">
        <v>90</v>
      </c>
      <c r="F322" s="30" t="n">
        <v>17910</v>
      </c>
      <c r="G322" s="31" t="n">
        <v>45436</v>
      </c>
      <c r="H322" s="31" t="n">
        <v>45584</v>
      </c>
      <c r="I322" s="0" t="n">
        <v>148</v>
      </c>
      <c r="J322" s="32" t="s">
        <v>34</v>
      </c>
      <c r="K322" s="32" t="s">
        <v>64</v>
      </c>
      <c r="L322" s="32" t="s">
        <v>791</v>
      </c>
      <c r="M322" s="30" t="n">
        <v>95</v>
      </c>
    </row>
    <row r="323" customFormat="false" ht="15" hidden="false" customHeight="false" outlineLevel="0" collapsed="false">
      <c r="A323" s="0" t="s">
        <v>355</v>
      </c>
      <c r="B323" s="0" t="s">
        <v>354</v>
      </c>
      <c r="C323" s="0" t="s">
        <v>71</v>
      </c>
      <c r="D323" s="0" t="s">
        <v>93</v>
      </c>
      <c r="E323" s="0" t="n">
        <v>38</v>
      </c>
      <c r="F323" s="30" t="n">
        <v>722</v>
      </c>
      <c r="G323" s="31" t="n">
        <v>45625</v>
      </c>
      <c r="H323" s="31" t="n">
        <v>45656</v>
      </c>
      <c r="I323" s="0" t="n">
        <v>31</v>
      </c>
      <c r="J323" s="32" t="s">
        <v>34</v>
      </c>
      <c r="K323" s="32" t="s">
        <v>43</v>
      </c>
      <c r="M323" s="30" t="n">
        <v>0</v>
      </c>
    </row>
    <row r="324" customFormat="false" ht="15" hidden="false" customHeight="false" outlineLevel="0" collapsed="false">
      <c r="A324" s="0" t="s">
        <v>792</v>
      </c>
      <c r="B324" s="0" t="s">
        <v>793</v>
      </c>
      <c r="C324" s="0" t="s">
        <v>73</v>
      </c>
      <c r="D324" s="0" t="s">
        <v>98</v>
      </c>
      <c r="E324" s="0" t="n">
        <v>25</v>
      </c>
      <c r="F324" s="30" t="n">
        <v>0</v>
      </c>
      <c r="G324" s="31" t="n">
        <v>45213</v>
      </c>
      <c r="H324" s="31" t="n">
        <v>45270</v>
      </c>
      <c r="I324" s="0" t="n">
        <v>57</v>
      </c>
      <c r="J324" s="32" t="s">
        <v>30</v>
      </c>
      <c r="K324" s="32" t="s">
        <v>43</v>
      </c>
      <c r="M324" s="30" t="n">
        <v>0</v>
      </c>
    </row>
    <row r="325" customFormat="false" ht="15" hidden="false" customHeight="false" outlineLevel="0" collapsed="false">
      <c r="A325" s="0" t="s">
        <v>794</v>
      </c>
      <c r="B325" s="0" t="s">
        <v>795</v>
      </c>
      <c r="C325" s="0" t="s">
        <v>72</v>
      </c>
      <c r="D325" s="0" t="s">
        <v>93</v>
      </c>
      <c r="E325" s="0" t="n">
        <v>36</v>
      </c>
      <c r="F325" s="30" t="n">
        <v>1764</v>
      </c>
      <c r="G325" s="31" t="n">
        <v>45650</v>
      </c>
      <c r="H325" s="31" t="n">
        <v>45650</v>
      </c>
      <c r="I325" s="0" t="n">
        <v>0</v>
      </c>
      <c r="J325" s="32" t="s">
        <v>34</v>
      </c>
      <c r="K325" s="32" t="s">
        <v>64</v>
      </c>
      <c r="L325" s="32" t="s">
        <v>796</v>
      </c>
      <c r="M325" s="30" t="n">
        <v>2646</v>
      </c>
    </row>
    <row r="326" customFormat="false" ht="15" hidden="false" customHeight="false" outlineLevel="0" collapsed="false">
      <c r="A326" s="0" t="s">
        <v>797</v>
      </c>
      <c r="B326" s="0" t="s">
        <v>798</v>
      </c>
      <c r="C326" s="0" t="s">
        <v>73</v>
      </c>
      <c r="D326" s="0" t="s">
        <v>93</v>
      </c>
      <c r="E326" s="0" t="n">
        <v>11</v>
      </c>
      <c r="F326" s="30" t="n">
        <v>2189</v>
      </c>
      <c r="G326" s="31" t="n">
        <v>45480</v>
      </c>
      <c r="H326" s="31" t="n">
        <v>45649</v>
      </c>
      <c r="I326" s="0" t="n">
        <v>169</v>
      </c>
      <c r="J326" s="32" t="s">
        <v>34</v>
      </c>
      <c r="K326" s="32" t="s">
        <v>43</v>
      </c>
      <c r="M326" s="30" t="n">
        <v>0</v>
      </c>
    </row>
    <row r="327" customFormat="false" ht="15" hidden="false" customHeight="false" outlineLevel="0" collapsed="false">
      <c r="A327" s="0" t="s">
        <v>799</v>
      </c>
      <c r="B327" s="0" t="s">
        <v>790</v>
      </c>
      <c r="C327" s="0" t="s">
        <v>71</v>
      </c>
      <c r="D327" s="0" t="s">
        <v>98</v>
      </c>
      <c r="E327" s="0" t="n">
        <v>23</v>
      </c>
      <c r="F327" s="30" t="n">
        <v>0</v>
      </c>
      <c r="G327" s="31" t="n">
        <v>45561</v>
      </c>
      <c r="H327" s="31" t="n">
        <v>45575</v>
      </c>
      <c r="I327" s="0" t="n">
        <v>14</v>
      </c>
      <c r="J327" s="32" t="s">
        <v>34</v>
      </c>
      <c r="K327" s="32" t="s">
        <v>42</v>
      </c>
      <c r="M327" s="30" t="n">
        <v>0</v>
      </c>
    </row>
    <row r="328" customFormat="false" ht="15" hidden="false" customHeight="false" outlineLevel="0" collapsed="false">
      <c r="A328" s="0" t="s">
        <v>800</v>
      </c>
      <c r="B328" s="0" t="s">
        <v>296</v>
      </c>
      <c r="C328" s="0" t="s">
        <v>73</v>
      </c>
      <c r="D328" s="0" t="s">
        <v>93</v>
      </c>
      <c r="E328" s="0" t="n">
        <v>5</v>
      </c>
      <c r="F328" s="30" t="n">
        <v>995</v>
      </c>
      <c r="G328" s="31" t="n">
        <v>45445</v>
      </c>
      <c r="H328" s="31" t="n">
        <v>45596</v>
      </c>
      <c r="I328" s="0" t="n">
        <v>151</v>
      </c>
      <c r="J328" s="32" t="s">
        <v>34</v>
      </c>
      <c r="K328" s="32" t="s">
        <v>43</v>
      </c>
      <c r="M328" s="30" t="n">
        <v>0</v>
      </c>
    </row>
    <row r="329" customFormat="false" ht="15" hidden="false" customHeight="false" outlineLevel="0" collapsed="false">
      <c r="A329" s="0" t="s">
        <v>801</v>
      </c>
      <c r="B329" s="0" t="s">
        <v>802</v>
      </c>
      <c r="C329" s="0" t="s">
        <v>73</v>
      </c>
      <c r="D329" s="0" t="s">
        <v>93</v>
      </c>
      <c r="E329" s="0" t="n">
        <v>26</v>
      </c>
      <c r="F329" s="30" t="n">
        <v>5174</v>
      </c>
      <c r="G329" s="31" t="n">
        <v>45442</v>
      </c>
      <c r="H329" s="31" t="n">
        <v>45509</v>
      </c>
      <c r="I329" s="0" t="n">
        <v>67</v>
      </c>
      <c r="J329" s="32" t="s">
        <v>33</v>
      </c>
      <c r="K329" s="32" t="s">
        <v>64</v>
      </c>
      <c r="L329" s="32" t="s">
        <v>803</v>
      </c>
      <c r="M329" s="30" t="n">
        <v>418</v>
      </c>
    </row>
    <row r="330" customFormat="false" ht="15" hidden="false" customHeight="false" outlineLevel="0" collapsed="false">
      <c r="A330" s="0" t="s">
        <v>804</v>
      </c>
      <c r="B330" s="0" t="s">
        <v>805</v>
      </c>
      <c r="C330" s="0" t="s">
        <v>72</v>
      </c>
      <c r="D330" s="0" t="s">
        <v>93</v>
      </c>
      <c r="E330" s="0" t="n">
        <v>11</v>
      </c>
      <c r="F330" s="30" t="n">
        <v>539</v>
      </c>
      <c r="G330" s="31" t="n">
        <v>45556</v>
      </c>
      <c r="H330" s="31" t="n">
        <v>45599</v>
      </c>
      <c r="I330" s="0" t="n">
        <v>43</v>
      </c>
      <c r="J330" s="32" t="s">
        <v>34</v>
      </c>
      <c r="K330" s="32" t="s">
        <v>43</v>
      </c>
      <c r="M330" s="30" t="n">
        <v>0</v>
      </c>
    </row>
    <row r="331" customFormat="false" ht="15" hidden="false" customHeight="false" outlineLevel="0" collapsed="false">
      <c r="A331" s="0" t="s">
        <v>806</v>
      </c>
      <c r="B331" s="0" t="s">
        <v>807</v>
      </c>
      <c r="C331" s="0" t="s">
        <v>72</v>
      </c>
      <c r="D331" s="0" t="s">
        <v>93</v>
      </c>
      <c r="E331" s="0" t="n">
        <v>5</v>
      </c>
      <c r="F331" s="30" t="n">
        <v>245</v>
      </c>
      <c r="G331" s="31" t="n">
        <v>45270</v>
      </c>
      <c r="H331" s="31" t="n">
        <v>45352</v>
      </c>
      <c r="I331" s="0" t="n">
        <v>82</v>
      </c>
      <c r="J331" s="32" t="s">
        <v>31</v>
      </c>
      <c r="K331" s="32" t="s">
        <v>43</v>
      </c>
      <c r="M331" s="30" t="n">
        <v>0</v>
      </c>
    </row>
    <row r="332" customFormat="false" ht="15" hidden="false" customHeight="false" outlineLevel="0" collapsed="false">
      <c r="A332" s="0" t="s">
        <v>808</v>
      </c>
      <c r="B332" s="0" t="s">
        <v>482</v>
      </c>
      <c r="C332" s="0" t="s">
        <v>73</v>
      </c>
      <c r="D332" s="0" t="s">
        <v>93</v>
      </c>
      <c r="E332" s="0" t="n">
        <v>59</v>
      </c>
      <c r="F332" s="30" t="n">
        <v>11741</v>
      </c>
      <c r="G332" s="31" t="n">
        <v>45647</v>
      </c>
      <c r="H332" s="31" t="n">
        <v>45656</v>
      </c>
      <c r="I332" s="0" t="n">
        <v>9</v>
      </c>
      <c r="J332" s="32" t="s">
        <v>34</v>
      </c>
      <c r="K332" s="32" t="s">
        <v>42</v>
      </c>
      <c r="M332" s="30" t="n">
        <v>0</v>
      </c>
    </row>
    <row r="333" customFormat="false" ht="15" hidden="false" customHeight="false" outlineLevel="0" collapsed="false">
      <c r="A333" s="0" t="s">
        <v>809</v>
      </c>
      <c r="B333" s="0" t="s">
        <v>810</v>
      </c>
      <c r="C333" s="0" t="s">
        <v>73</v>
      </c>
      <c r="D333" s="0" t="s">
        <v>98</v>
      </c>
      <c r="E333" s="0" t="n">
        <v>12</v>
      </c>
      <c r="F333" s="30" t="n">
        <v>0</v>
      </c>
      <c r="G333" s="31" t="n">
        <v>45346</v>
      </c>
      <c r="H333" s="31" t="n">
        <v>45606</v>
      </c>
      <c r="I333" s="0" t="n">
        <v>260</v>
      </c>
      <c r="J333" s="32" t="s">
        <v>34</v>
      </c>
      <c r="K333" s="32" t="s">
        <v>43</v>
      </c>
      <c r="M333" s="30" t="n">
        <v>0</v>
      </c>
    </row>
    <row r="334" customFormat="false" ht="15" hidden="false" customHeight="false" outlineLevel="0" collapsed="false">
      <c r="A334" s="0" t="s">
        <v>811</v>
      </c>
      <c r="B334" s="0" t="s">
        <v>812</v>
      </c>
      <c r="C334" s="0" t="s">
        <v>71</v>
      </c>
      <c r="D334" s="0" t="s">
        <v>93</v>
      </c>
      <c r="E334" s="0" t="n">
        <v>36</v>
      </c>
      <c r="F334" s="30" t="n">
        <v>684</v>
      </c>
      <c r="G334" s="31" t="n">
        <v>45602</v>
      </c>
      <c r="H334" s="31" t="n">
        <v>45639</v>
      </c>
      <c r="I334" s="0" t="n">
        <v>37</v>
      </c>
      <c r="J334" s="32" t="s">
        <v>34</v>
      </c>
      <c r="K334" s="32" t="s">
        <v>43</v>
      </c>
      <c r="M334" s="30" t="n">
        <v>0</v>
      </c>
    </row>
    <row r="335" customFormat="false" ht="15" hidden="false" customHeight="false" outlineLevel="0" collapsed="false">
      <c r="A335" s="0" t="s">
        <v>813</v>
      </c>
      <c r="B335" s="0" t="s">
        <v>814</v>
      </c>
      <c r="C335" s="0" t="s">
        <v>72</v>
      </c>
      <c r="D335" s="0" t="s">
        <v>98</v>
      </c>
      <c r="E335" s="0" t="n">
        <v>163</v>
      </c>
      <c r="F335" s="30" t="n">
        <v>0</v>
      </c>
      <c r="G335" s="31" t="n">
        <v>45616</v>
      </c>
      <c r="H335" s="31" t="n">
        <v>45652</v>
      </c>
      <c r="I335" s="0" t="n">
        <v>36</v>
      </c>
      <c r="J335" s="32" t="s">
        <v>34</v>
      </c>
      <c r="K335" s="32" t="s">
        <v>43</v>
      </c>
      <c r="M335" s="30" t="n">
        <v>0</v>
      </c>
    </row>
    <row r="336" customFormat="false" ht="15" hidden="false" customHeight="false" outlineLevel="0" collapsed="false">
      <c r="A336" s="0" t="s">
        <v>815</v>
      </c>
      <c r="B336" s="0" t="s">
        <v>721</v>
      </c>
      <c r="C336" s="0" t="s">
        <v>71</v>
      </c>
      <c r="D336" s="0" t="s">
        <v>93</v>
      </c>
      <c r="E336" s="0" t="n">
        <v>13</v>
      </c>
      <c r="F336" s="30" t="n">
        <v>247</v>
      </c>
      <c r="G336" s="31" t="n">
        <v>45559</v>
      </c>
      <c r="H336" s="31" t="n">
        <v>45600</v>
      </c>
      <c r="I336" s="0" t="n">
        <v>41</v>
      </c>
      <c r="J336" s="32" t="s">
        <v>34</v>
      </c>
      <c r="K336" s="32" t="s">
        <v>64</v>
      </c>
      <c r="L336" s="32" t="s">
        <v>816</v>
      </c>
      <c r="M336" s="30" t="n">
        <v>247</v>
      </c>
    </row>
    <row r="337" customFormat="false" ht="15" hidden="false" customHeight="false" outlineLevel="0" collapsed="false">
      <c r="A337" s="0" t="s">
        <v>817</v>
      </c>
      <c r="B337" s="0" t="s">
        <v>169</v>
      </c>
      <c r="C337" s="0" t="s">
        <v>72</v>
      </c>
      <c r="D337" s="0" t="s">
        <v>93</v>
      </c>
      <c r="E337" s="0" t="n">
        <v>29</v>
      </c>
      <c r="F337" s="30" t="n">
        <v>1421</v>
      </c>
      <c r="G337" s="31" t="n">
        <v>45339</v>
      </c>
      <c r="H337" s="31" t="n">
        <v>45442</v>
      </c>
      <c r="I337" s="0" t="n">
        <v>103</v>
      </c>
      <c r="J337" s="32" t="s">
        <v>32</v>
      </c>
      <c r="K337" s="32" t="s">
        <v>43</v>
      </c>
      <c r="M337" s="30" t="n">
        <v>0</v>
      </c>
    </row>
    <row r="338" customFormat="false" ht="15" hidden="false" customHeight="false" outlineLevel="0" collapsed="false">
      <c r="A338" s="0" t="s">
        <v>818</v>
      </c>
      <c r="B338" s="0" t="s">
        <v>819</v>
      </c>
      <c r="C338" s="0" t="s">
        <v>73</v>
      </c>
      <c r="D338" s="0" t="s">
        <v>93</v>
      </c>
      <c r="E338" s="0" t="n">
        <v>35</v>
      </c>
      <c r="F338" s="30" t="n">
        <v>6965</v>
      </c>
      <c r="G338" s="31" t="n">
        <v>45642</v>
      </c>
      <c r="H338" s="31" t="n">
        <v>45651</v>
      </c>
      <c r="I338" s="0" t="n">
        <v>9</v>
      </c>
      <c r="J338" s="32" t="s">
        <v>34</v>
      </c>
      <c r="K338" s="32" t="s">
        <v>42</v>
      </c>
      <c r="M338" s="30" t="n">
        <v>0</v>
      </c>
    </row>
    <row r="339" customFormat="false" ht="15" hidden="false" customHeight="false" outlineLevel="0" collapsed="false">
      <c r="A339" s="0" t="s">
        <v>820</v>
      </c>
      <c r="B339" s="0" t="s">
        <v>821</v>
      </c>
      <c r="C339" s="0" t="s">
        <v>73</v>
      </c>
      <c r="D339" s="0" t="s">
        <v>93</v>
      </c>
      <c r="E339" s="0" t="n">
        <v>25</v>
      </c>
      <c r="F339" s="30" t="n">
        <v>4975</v>
      </c>
      <c r="G339" s="31" t="n">
        <v>45525</v>
      </c>
      <c r="H339" s="31" t="n">
        <v>45544</v>
      </c>
      <c r="I339" s="0" t="n">
        <v>19</v>
      </c>
      <c r="J339" s="32" t="s">
        <v>33</v>
      </c>
      <c r="K339" s="32" t="s">
        <v>42</v>
      </c>
      <c r="M339" s="30" t="n">
        <v>0</v>
      </c>
    </row>
    <row r="340" customFormat="false" ht="15" hidden="false" customHeight="false" outlineLevel="0" collapsed="false">
      <c r="A340" s="0" t="s">
        <v>822</v>
      </c>
      <c r="B340" s="0" t="s">
        <v>823</v>
      </c>
      <c r="C340" s="0" t="s">
        <v>73</v>
      </c>
      <c r="D340" s="0" t="s">
        <v>93</v>
      </c>
      <c r="E340" s="0" t="n">
        <v>25</v>
      </c>
      <c r="F340" s="30" t="n">
        <v>4975</v>
      </c>
      <c r="G340" s="31" t="n">
        <v>45323</v>
      </c>
      <c r="H340" s="31" t="n">
        <v>45452</v>
      </c>
      <c r="I340" s="0" t="n">
        <v>129</v>
      </c>
      <c r="J340" s="32" t="s">
        <v>32</v>
      </c>
      <c r="K340" s="32" t="s">
        <v>43</v>
      </c>
      <c r="M340" s="30" t="n">
        <v>0</v>
      </c>
    </row>
    <row r="341" customFormat="false" ht="15" hidden="false" customHeight="false" outlineLevel="0" collapsed="false">
      <c r="A341" s="0" t="s">
        <v>824</v>
      </c>
      <c r="B341" s="0" t="s">
        <v>825</v>
      </c>
      <c r="C341" s="0" t="s">
        <v>72</v>
      </c>
      <c r="D341" s="0" t="s">
        <v>93</v>
      </c>
      <c r="E341" s="0" t="n">
        <v>3</v>
      </c>
      <c r="F341" s="30" t="n">
        <v>147</v>
      </c>
      <c r="G341" s="31" t="n">
        <v>45646</v>
      </c>
      <c r="H341" s="31" t="n">
        <v>45657</v>
      </c>
      <c r="I341" s="0" t="n">
        <v>11</v>
      </c>
      <c r="J341" s="32" t="s">
        <v>34</v>
      </c>
      <c r="K341" s="32" t="s">
        <v>42</v>
      </c>
      <c r="M341" s="30" t="n">
        <v>0</v>
      </c>
    </row>
    <row r="342" customFormat="false" ht="15" hidden="false" customHeight="false" outlineLevel="0" collapsed="false">
      <c r="A342" s="0" t="s">
        <v>826</v>
      </c>
      <c r="B342" s="0" t="s">
        <v>827</v>
      </c>
      <c r="C342" s="0" t="s">
        <v>71</v>
      </c>
      <c r="D342" s="0" t="s">
        <v>93</v>
      </c>
      <c r="E342" s="0" t="n">
        <v>19</v>
      </c>
      <c r="F342" s="30" t="n">
        <v>361</v>
      </c>
      <c r="G342" s="31" t="n">
        <v>45465</v>
      </c>
      <c r="H342" s="31" t="n">
        <v>45636</v>
      </c>
      <c r="I342" s="0" t="n">
        <v>171</v>
      </c>
      <c r="J342" s="32" t="s">
        <v>34</v>
      </c>
      <c r="K342" s="32" t="s">
        <v>43</v>
      </c>
      <c r="M342" s="30" t="n">
        <v>0</v>
      </c>
    </row>
    <row r="343" customFormat="false" ht="15" hidden="false" customHeight="false" outlineLevel="0" collapsed="false">
      <c r="A343" s="0" t="s">
        <v>828</v>
      </c>
      <c r="B343" s="0" t="s">
        <v>829</v>
      </c>
      <c r="C343" s="0" t="s">
        <v>73</v>
      </c>
      <c r="D343" s="0" t="s">
        <v>93</v>
      </c>
      <c r="E343" s="0" t="n">
        <v>43</v>
      </c>
      <c r="F343" s="30" t="n">
        <v>8557</v>
      </c>
      <c r="G343" s="31" t="n">
        <v>45611</v>
      </c>
      <c r="H343" s="31" t="n">
        <v>45623</v>
      </c>
      <c r="I343" s="0" t="n">
        <v>12</v>
      </c>
      <c r="J343" s="32" t="s">
        <v>34</v>
      </c>
      <c r="K343" s="32" t="s">
        <v>64</v>
      </c>
      <c r="L343" s="32" t="s">
        <v>830</v>
      </c>
      <c r="M343" s="30" t="n">
        <v>5174</v>
      </c>
    </row>
    <row r="344" customFormat="false" ht="15" hidden="false" customHeight="false" outlineLevel="0" collapsed="false">
      <c r="A344" s="0" t="s">
        <v>831</v>
      </c>
      <c r="B344" s="0" t="s">
        <v>832</v>
      </c>
      <c r="C344" s="0" t="s">
        <v>72</v>
      </c>
      <c r="D344" s="0" t="s">
        <v>93</v>
      </c>
      <c r="E344" s="0" t="n">
        <v>38</v>
      </c>
      <c r="F344" s="30" t="n">
        <v>1862</v>
      </c>
      <c r="G344" s="31" t="n">
        <v>45463</v>
      </c>
      <c r="H344" s="31" t="n">
        <v>45513</v>
      </c>
      <c r="I344" s="0" t="n">
        <v>50</v>
      </c>
      <c r="J344" s="32" t="s">
        <v>33</v>
      </c>
      <c r="K344" s="32" t="s">
        <v>43</v>
      </c>
      <c r="M344" s="30" t="n">
        <v>0</v>
      </c>
    </row>
    <row r="345" customFormat="false" ht="15" hidden="false" customHeight="false" outlineLevel="0" collapsed="false">
      <c r="A345" s="0" t="s">
        <v>833</v>
      </c>
      <c r="B345" s="0" t="s">
        <v>834</v>
      </c>
      <c r="C345" s="0" t="s">
        <v>73</v>
      </c>
      <c r="D345" s="0" t="s">
        <v>98</v>
      </c>
      <c r="E345" s="0" t="n">
        <v>26</v>
      </c>
      <c r="F345" s="30" t="n">
        <v>0</v>
      </c>
      <c r="G345" s="31" t="n">
        <v>45579</v>
      </c>
      <c r="H345" s="31" t="n">
        <v>45585</v>
      </c>
      <c r="I345" s="0" t="n">
        <v>6</v>
      </c>
      <c r="J345" s="32" t="s">
        <v>34</v>
      </c>
      <c r="K345" s="32" t="s">
        <v>64</v>
      </c>
      <c r="L345" s="32" t="s">
        <v>835</v>
      </c>
      <c r="M345" s="30" t="n">
        <v>494</v>
      </c>
    </row>
    <row r="346" customFormat="false" ht="15" hidden="false" customHeight="false" outlineLevel="0" collapsed="false">
      <c r="A346" s="0" t="s">
        <v>836</v>
      </c>
      <c r="B346" s="0" t="s">
        <v>186</v>
      </c>
      <c r="C346" s="0" t="s">
        <v>72</v>
      </c>
      <c r="D346" s="0" t="s">
        <v>93</v>
      </c>
      <c r="E346" s="0" t="n">
        <v>33</v>
      </c>
      <c r="F346" s="30" t="n">
        <v>1617</v>
      </c>
      <c r="G346" s="31" t="n">
        <v>45647</v>
      </c>
      <c r="H346" s="31" t="n">
        <v>45649</v>
      </c>
      <c r="I346" s="0" t="n">
        <v>2</v>
      </c>
      <c r="J346" s="32" t="s">
        <v>34</v>
      </c>
      <c r="K346" s="32" t="s">
        <v>64</v>
      </c>
      <c r="L346" s="32" t="s">
        <v>837</v>
      </c>
      <c r="M346" s="30" t="n">
        <v>703</v>
      </c>
    </row>
    <row r="347" customFormat="false" ht="15" hidden="false" customHeight="false" outlineLevel="0" collapsed="false">
      <c r="A347" s="0" t="s">
        <v>838</v>
      </c>
      <c r="B347" s="0" t="s">
        <v>522</v>
      </c>
      <c r="C347" s="0" t="s">
        <v>72</v>
      </c>
      <c r="D347" s="0" t="s">
        <v>98</v>
      </c>
      <c r="E347" s="0" t="n">
        <v>24</v>
      </c>
      <c r="F347" s="30" t="n">
        <v>0</v>
      </c>
      <c r="G347" s="31" t="n">
        <v>45540</v>
      </c>
      <c r="H347" s="31" t="n">
        <v>45576</v>
      </c>
      <c r="I347" s="0" t="n">
        <v>36</v>
      </c>
      <c r="J347" s="32" t="s">
        <v>34</v>
      </c>
      <c r="K347" s="32" t="s">
        <v>64</v>
      </c>
      <c r="L347" s="32" t="s">
        <v>839</v>
      </c>
      <c r="M347" s="30" t="n">
        <v>11741</v>
      </c>
    </row>
    <row r="348" customFormat="false" ht="15" hidden="false" customHeight="false" outlineLevel="0" collapsed="false">
      <c r="A348" s="0" t="s">
        <v>840</v>
      </c>
      <c r="B348" s="0" t="s">
        <v>841</v>
      </c>
      <c r="C348" s="0" t="s">
        <v>73</v>
      </c>
      <c r="D348" s="0" t="s">
        <v>93</v>
      </c>
      <c r="E348" s="0" t="n">
        <v>37</v>
      </c>
      <c r="F348" s="30" t="n">
        <v>7363</v>
      </c>
      <c r="G348" s="31" t="n">
        <v>45633</v>
      </c>
      <c r="H348" s="31" t="n">
        <v>45640</v>
      </c>
      <c r="I348" s="0" t="n">
        <v>7</v>
      </c>
      <c r="J348" s="32" t="s">
        <v>34</v>
      </c>
      <c r="K348" s="32" t="s">
        <v>64</v>
      </c>
      <c r="L348" s="32" t="s">
        <v>842</v>
      </c>
      <c r="M348" s="30" t="n">
        <v>7363</v>
      </c>
    </row>
    <row r="349" customFormat="false" ht="15" hidden="false" customHeight="false" outlineLevel="0" collapsed="false">
      <c r="A349" s="0" t="s">
        <v>843</v>
      </c>
      <c r="B349" s="0" t="s">
        <v>844</v>
      </c>
      <c r="C349" s="0" t="s">
        <v>73</v>
      </c>
      <c r="D349" s="0" t="s">
        <v>93</v>
      </c>
      <c r="E349" s="0" t="n">
        <v>12</v>
      </c>
      <c r="F349" s="30" t="n">
        <v>2388</v>
      </c>
      <c r="G349" s="31" t="n">
        <v>45307</v>
      </c>
      <c r="H349" s="31" t="n">
        <v>45325</v>
      </c>
      <c r="I349" s="0" t="n">
        <v>18</v>
      </c>
      <c r="J349" s="32" t="s">
        <v>31</v>
      </c>
      <c r="K349" s="32" t="s">
        <v>43</v>
      </c>
      <c r="M349" s="30" t="n">
        <v>0</v>
      </c>
    </row>
    <row r="350" customFormat="false" ht="15" hidden="false" customHeight="false" outlineLevel="0" collapsed="false">
      <c r="A350" s="0" t="s">
        <v>845</v>
      </c>
      <c r="B350" s="0" t="s">
        <v>542</v>
      </c>
      <c r="C350" s="0" t="s">
        <v>72</v>
      </c>
      <c r="D350" s="0" t="s">
        <v>93</v>
      </c>
      <c r="E350" s="0" t="n">
        <v>58</v>
      </c>
      <c r="F350" s="30" t="n">
        <v>2842</v>
      </c>
      <c r="G350" s="31" t="n">
        <v>45383</v>
      </c>
      <c r="H350" s="31" t="n">
        <v>45536</v>
      </c>
      <c r="I350" s="0" t="n">
        <v>153</v>
      </c>
      <c r="J350" s="32" t="s">
        <v>33</v>
      </c>
      <c r="K350" s="32" t="s">
        <v>43</v>
      </c>
      <c r="M350" s="30" t="n">
        <v>0</v>
      </c>
    </row>
    <row r="351" customFormat="false" ht="15" hidden="false" customHeight="false" outlineLevel="0" collapsed="false">
      <c r="A351" s="0" t="s">
        <v>846</v>
      </c>
      <c r="B351" s="0" t="s">
        <v>161</v>
      </c>
      <c r="C351" s="0" t="s">
        <v>73</v>
      </c>
      <c r="D351" s="0" t="s">
        <v>93</v>
      </c>
      <c r="E351" s="0" t="n">
        <v>23</v>
      </c>
      <c r="F351" s="30" t="n">
        <v>4577</v>
      </c>
      <c r="G351" s="31" t="n">
        <v>45647</v>
      </c>
      <c r="H351" s="31" t="n">
        <v>45657</v>
      </c>
      <c r="I351" s="0" t="n">
        <v>10</v>
      </c>
      <c r="J351" s="32" t="s">
        <v>34</v>
      </c>
      <c r="K351" s="32" t="s">
        <v>64</v>
      </c>
      <c r="L351" s="32" t="s">
        <v>162</v>
      </c>
      <c r="M351" s="30" t="n">
        <v>0</v>
      </c>
    </row>
    <row r="352" customFormat="false" ht="15" hidden="false" customHeight="false" outlineLevel="0" collapsed="false">
      <c r="A352" s="0" t="s">
        <v>847</v>
      </c>
      <c r="B352" s="0" t="s">
        <v>494</v>
      </c>
      <c r="C352" s="0" t="s">
        <v>71</v>
      </c>
      <c r="D352" s="0" t="s">
        <v>93</v>
      </c>
      <c r="E352" s="0" t="n">
        <v>35</v>
      </c>
      <c r="F352" s="30" t="n">
        <v>665</v>
      </c>
      <c r="G352" s="31" t="n">
        <v>45176</v>
      </c>
      <c r="H352" s="31" t="n">
        <v>45333</v>
      </c>
      <c r="I352" s="0" t="n">
        <v>157</v>
      </c>
      <c r="J352" s="32" t="s">
        <v>31</v>
      </c>
      <c r="K352" s="32" t="s">
        <v>64</v>
      </c>
      <c r="L352" s="32" t="s">
        <v>848</v>
      </c>
      <c r="M352" s="30" t="n">
        <v>209</v>
      </c>
    </row>
    <row r="353" customFormat="false" ht="15" hidden="false" customHeight="false" outlineLevel="0" collapsed="false">
      <c r="A353" s="0" t="s">
        <v>849</v>
      </c>
      <c r="B353" s="0" t="s">
        <v>850</v>
      </c>
      <c r="C353" s="0" t="s">
        <v>73</v>
      </c>
      <c r="D353" s="0" t="s">
        <v>93</v>
      </c>
      <c r="E353" s="0" t="n">
        <v>9</v>
      </c>
      <c r="F353" s="30" t="n">
        <v>1791</v>
      </c>
      <c r="G353" s="31" t="n">
        <v>45630</v>
      </c>
      <c r="H353" s="31" t="n">
        <v>45650</v>
      </c>
      <c r="I353" s="0" t="n">
        <v>20</v>
      </c>
      <c r="J353" s="32" t="s">
        <v>34</v>
      </c>
      <c r="K353" s="32" t="s">
        <v>64</v>
      </c>
      <c r="L353" s="32" t="s">
        <v>851</v>
      </c>
      <c r="M353" s="30" t="n">
        <v>1791</v>
      </c>
    </row>
    <row r="354" customFormat="false" ht="15" hidden="false" customHeight="false" outlineLevel="0" collapsed="false">
      <c r="A354" s="0" t="s">
        <v>852</v>
      </c>
      <c r="B354" s="0" t="s">
        <v>174</v>
      </c>
      <c r="C354" s="0" t="s">
        <v>73</v>
      </c>
      <c r="D354" s="0" t="s">
        <v>93</v>
      </c>
      <c r="E354" s="0" t="n">
        <v>87</v>
      </c>
      <c r="F354" s="30" t="n">
        <v>17313</v>
      </c>
      <c r="G354" s="31" t="n">
        <v>45439</v>
      </c>
      <c r="H354" s="31" t="n">
        <v>45656</v>
      </c>
      <c r="I354" s="0" t="n">
        <v>217</v>
      </c>
      <c r="J354" s="32" t="s">
        <v>34</v>
      </c>
      <c r="K354" s="32" t="s">
        <v>43</v>
      </c>
      <c r="M354" s="30" t="n">
        <v>0</v>
      </c>
    </row>
    <row r="355" customFormat="false" ht="15" hidden="false" customHeight="false" outlineLevel="0" collapsed="false">
      <c r="A355" s="0" t="s">
        <v>853</v>
      </c>
      <c r="B355" s="0" t="s">
        <v>854</v>
      </c>
      <c r="C355" s="0" t="s">
        <v>72</v>
      </c>
      <c r="D355" s="0" t="s">
        <v>93</v>
      </c>
      <c r="E355" s="0" t="n">
        <v>1</v>
      </c>
      <c r="F355" s="30" t="n">
        <v>49</v>
      </c>
      <c r="G355" s="31" t="n">
        <v>45383</v>
      </c>
      <c r="H355" s="31" t="n">
        <v>45527</v>
      </c>
      <c r="I355" s="0" t="n">
        <v>144</v>
      </c>
      <c r="J355" s="32" t="s">
        <v>33</v>
      </c>
      <c r="K355" s="32" t="s">
        <v>64</v>
      </c>
      <c r="L355" s="32" t="s">
        <v>855</v>
      </c>
      <c r="M355" s="30" t="n">
        <v>38</v>
      </c>
    </row>
    <row r="356" customFormat="false" ht="15" hidden="false" customHeight="false" outlineLevel="0" collapsed="false">
      <c r="A356" s="0" t="s">
        <v>856</v>
      </c>
      <c r="B356" s="0" t="s">
        <v>735</v>
      </c>
      <c r="C356" s="0" t="s">
        <v>71</v>
      </c>
      <c r="D356" s="0" t="s">
        <v>93</v>
      </c>
      <c r="E356" s="0" t="n">
        <v>10</v>
      </c>
      <c r="F356" s="30" t="n">
        <v>190</v>
      </c>
      <c r="G356" s="31" t="n">
        <v>45555</v>
      </c>
      <c r="H356" s="31" t="n">
        <v>45615</v>
      </c>
      <c r="I356" s="0" t="n">
        <v>60</v>
      </c>
      <c r="J356" s="32" t="s">
        <v>34</v>
      </c>
      <c r="K356" s="32" t="s">
        <v>43</v>
      </c>
      <c r="M356" s="30" t="n">
        <v>0</v>
      </c>
    </row>
    <row r="357" customFormat="false" ht="15" hidden="false" customHeight="false" outlineLevel="0" collapsed="false">
      <c r="A357" s="0" t="s">
        <v>857</v>
      </c>
      <c r="B357" s="0" t="s">
        <v>238</v>
      </c>
      <c r="C357" s="0" t="s">
        <v>71</v>
      </c>
      <c r="D357" s="0" t="s">
        <v>93</v>
      </c>
      <c r="E357" s="0" t="n">
        <v>41</v>
      </c>
      <c r="F357" s="30" t="n">
        <v>779</v>
      </c>
      <c r="G357" s="31" t="n">
        <v>45573</v>
      </c>
      <c r="H357" s="31" t="n">
        <v>45580</v>
      </c>
      <c r="I357" s="0" t="n">
        <v>7</v>
      </c>
      <c r="J357" s="32" t="s">
        <v>34</v>
      </c>
      <c r="K357" s="32" t="s">
        <v>64</v>
      </c>
      <c r="L357" s="32" t="s">
        <v>858</v>
      </c>
      <c r="M357" s="30" t="n">
        <v>2009</v>
      </c>
    </row>
    <row r="358" customFormat="false" ht="15" hidden="false" customHeight="false" outlineLevel="0" collapsed="false">
      <c r="A358" s="0" t="s">
        <v>859</v>
      </c>
      <c r="B358" s="0" t="s">
        <v>860</v>
      </c>
      <c r="C358" s="0" t="s">
        <v>71</v>
      </c>
      <c r="D358" s="0" t="s">
        <v>93</v>
      </c>
      <c r="E358" s="0" t="n">
        <v>21</v>
      </c>
      <c r="F358" s="30" t="n">
        <v>399</v>
      </c>
      <c r="G358" s="31" t="n">
        <v>45620</v>
      </c>
      <c r="H358" s="31" t="n">
        <v>45648</v>
      </c>
      <c r="I358" s="0" t="n">
        <v>28</v>
      </c>
      <c r="J358" s="32" t="s">
        <v>34</v>
      </c>
      <c r="K358" s="32" t="s">
        <v>42</v>
      </c>
      <c r="M358" s="30" t="n">
        <v>0</v>
      </c>
    </row>
    <row r="359" customFormat="false" ht="15" hidden="false" customHeight="false" outlineLevel="0" collapsed="false">
      <c r="A359" s="0" t="s">
        <v>861</v>
      </c>
      <c r="B359" s="0" t="s">
        <v>862</v>
      </c>
      <c r="C359" s="0" t="s">
        <v>72</v>
      </c>
      <c r="D359" s="0" t="s">
        <v>93</v>
      </c>
      <c r="E359" s="0" t="n">
        <v>11</v>
      </c>
      <c r="F359" s="30" t="n">
        <v>539</v>
      </c>
      <c r="G359" s="31" t="n">
        <v>45591</v>
      </c>
      <c r="H359" s="31" t="n">
        <v>45650</v>
      </c>
      <c r="I359" s="0" t="n">
        <v>59</v>
      </c>
      <c r="J359" s="32" t="s">
        <v>34</v>
      </c>
      <c r="K359" s="32" t="s">
        <v>64</v>
      </c>
      <c r="L359" s="32" t="s">
        <v>863</v>
      </c>
      <c r="M359" s="30" t="n">
        <v>152</v>
      </c>
    </row>
    <row r="360" customFormat="false" ht="15" hidden="false" customHeight="false" outlineLevel="0" collapsed="false">
      <c r="A360" s="0" t="s">
        <v>864</v>
      </c>
      <c r="B360" s="0" t="s">
        <v>865</v>
      </c>
      <c r="C360" s="0" t="s">
        <v>73</v>
      </c>
      <c r="D360" s="0" t="s">
        <v>93</v>
      </c>
      <c r="E360" s="0" t="n">
        <v>32</v>
      </c>
      <c r="F360" s="30" t="n">
        <v>6368</v>
      </c>
      <c r="G360" s="31" t="n">
        <v>45638</v>
      </c>
      <c r="H360" s="31" t="n">
        <v>45653</v>
      </c>
      <c r="I360" s="0" t="n">
        <v>15</v>
      </c>
      <c r="J360" s="32" t="s">
        <v>34</v>
      </c>
      <c r="K360" s="32" t="s">
        <v>64</v>
      </c>
      <c r="L360" s="32" t="s">
        <v>866</v>
      </c>
      <c r="M360" s="30" t="n">
        <v>0</v>
      </c>
    </row>
    <row r="361" customFormat="false" ht="15" hidden="false" customHeight="false" outlineLevel="0" collapsed="false">
      <c r="A361" s="0" t="s">
        <v>867</v>
      </c>
      <c r="B361" s="0" t="s">
        <v>868</v>
      </c>
      <c r="C361" s="0" t="s">
        <v>71</v>
      </c>
      <c r="D361" s="0" t="s">
        <v>93</v>
      </c>
      <c r="E361" s="0" t="n">
        <v>61</v>
      </c>
      <c r="F361" s="30" t="n">
        <v>1159</v>
      </c>
      <c r="G361" s="31" t="n">
        <v>45096</v>
      </c>
      <c r="H361" s="31" t="n">
        <v>45427</v>
      </c>
      <c r="I361" s="0" t="n">
        <v>331</v>
      </c>
      <c r="J361" s="32" t="s">
        <v>32</v>
      </c>
      <c r="K361" s="32" t="s">
        <v>43</v>
      </c>
      <c r="M361" s="30" t="n">
        <v>0</v>
      </c>
    </row>
    <row r="362" customFormat="false" ht="15" hidden="false" customHeight="false" outlineLevel="0" collapsed="false">
      <c r="A362" s="0" t="s">
        <v>869</v>
      </c>
      <c r="B362" s="0" t="s">
        <v>870</v>
      </c>
      <c r="C362" s="0" t="s">
        <v>71</v>
      </c>
      <c r="D362" s="0" t="s">
        <v>93</v>
      </c>
      <c r="E362" s="0" t="n">
        <v>41</v>
      </c>
      <c r="F362" s="30" t="n">
        <v>779</v>
      </c>
      <c r="G362" s="31" t="n">
        <v>45632</v>
      </c>
      <c r="H362" s="31" t="n">
        <v>45645</v>
      </c>
      <c r="I362" s="0" t="n">
        <v>13</v>
      </c>
      <c r="J362" s="32" t="s">
        <v>34</v>
      </c>
      <c r="K362" s="32" t="s">
        <v>64</v>
      </c>
      <c r="L362" s="32" t="s">
        <v>871</v>
      </c>
      <c r="M362" s="30" t="n">
        <v>2009</v>
      </c>
    </row>
    <row r="363" customFormat="false" ht="15" hidden="false" customHeight="false" outlineLevel="0" collapsed="false">
      <c r="A363" s="0" t="s">
        <v>872</v>
      </c>
      <c r="B363" s="0" t="s">
        <v>435</v>
      </c>
      <c r="C363" s="0" t="s">
        <v>72</v>
      </c>
      <c r="D363" s="0" t="s">
        <v>93</v>
      </c>
      <c r="E363" s="0" t="n">
        <v>32</v>
      </c>
      <c r="F363" s="30" t="n">
        <v>1568</v>
      </c>
      <c r="G363" s="31" t="n">
        <v>45647</v>
      </c>
      <c r="H363" s="31" t="n">
        <v>45657</v>
      </c>
      <c r="I363" s="0" t="n">
        <v>10</v>
      </c>
      <c r="J363" s="32" t="s">
        <v>34</v>
      </c>
      <c r="K363" s="32" t="s">
        <v>64</v>
      </c>
      <c r="L363" s="32" t="s">
        <v>434</v>
      </c>
      <c r="M363" s="30" t="n">
        <v>779</v>
      </c>
    </row>
    <row r="364" customFormat="false" ht="15" hidden="false" customHeight="false" outlineLevel="0" collapsed="false">
      <c r="A364" s="0" t="s">
        <v>873</v>
      </c>
      <c r="B364" s="0" t="s">
        <v>699</v>
      </c>
      <c r="C364" s="0" t="s">
        <v>71</v>
      </c>
      <c r="D364" s="0" t="s">
        <v>93</v>
      </c>
      <c r="E364" s="0" t="n">
        <v>11</v>
      </c>
      <c r="F364" s="30" t="n">
        <v>209</v>
      </c>
      <c r="G364" s="31" t="n">
        <v>45630</v>
      </c>
      <c r="H364" s="31" t="n">
        <v>45641</v>
      </c>
      <c r="I364" s="0" t="n">
        <v>11</v>
      </c>
      <c r="J364" s="32" t="s">
        <v>34</v>
      </c>
      <c r="K364" s="32" t="s">
        <v>64</v>
      </c>
      <c r="L364" s="32" t="s">
        <v>874</v>
      </c>
      <c r="M364" s="30" t="n">
        <v>0</v>
      </c>
    </row>
    <row r="365" customFormat="false" ht="15" hidden="false" customHeight="false" outlineLevel="0" collapsed="false">
      <c r="A365" s="0" t="s">
        <v>875</v>
      </c>
      <c r="B365" s="0" t="s">
        <v>876</v>
      </c>
      <c r="C365" s="0" t="s">
        <v>73</v>
      </c>
      <c r="D365" s="0" t="s">
        <v>93</v>
      </c>
      <c r="E365" s="0" t="n">
        <v>26</v>
      </c>
      <c r="F365" s="30" t="n">
        <v>5174</v>
      </c>
      <c r="G365" s="31" t="n">
        <v>45342</v>
      </c>
      <c r="H365" s="31" t="n">
        <v>45516</v>
      </c>
      <c r="I365" s="0" t="n">
        <v>174</v>
      </c>
      <c r="J365" s="32" t="s">
        <v>33</v>
      </c>
      <c r="K365" s="32" t="s">
        <v>43</v>
      </c>
      <c r="M365" s="30" t="n">
        <v>0</v>
      </c>
    </row>
    <row r="366" customFormat="false" ht="15" hidden="false" customHeight="false" outlineLevel="0" collapsed="false">
      <c r="A366" s="0" t="s">
        <v>877</v>
      </c>
      <c r="B366" s="0" t="s">
        <v>540</v>
      </c>
      <c r="C366" s="0" t="s">
        <v>71</v>
      </c>
      <c r="D366" s="0" t="s">
        <v>93</v>
      </c>
      <c r="E366" s="0" t="n">
        <v>16</v>
      </c>
      <c r="F366" s="30" t="n">
        <v>304</v>
      </c>
      <c r="G366" s="31" t="n">
        <v>45272</v>
      </c>
      <c r="H366" s="31" t="n">
        <v>45436</v>
      </c>
      <c r="I366" s="0" t="n">
        <v>164</v>
      </c>
      <c r="J366" s="32" t="s">
        <v>32</v>
      </c>
      <c r="K366" s="32" t="s">
        <v>43</v>
      </c>
      <c r="M366" s="30" t="n">
        <v>0</v>
      </c>
    </row>
    <row r="367" customFormat="false" ht="15" hidden="false" customHeight="false" outlineLevel="0" collapsed="false">
      <c r="A367" s="0" t="s">
        <v>878</v>
      </c>
      <c r="B367" s="0" t="s">
        <v>879</v>
      </c>
      <c r="C367" s="0" t="s">
        <v>72</v>
      </c>
      <c r="D367" s="0" t="s">
        <v>93</v>
      </c>
      <c r="E367" s="0" t="n">
        <v>19</v>
      </c>
      <c r="F367" s="30" t="n">
        <v>931</v>
      </c>
      <c r="G367" s="31" t="n">
        <v>45647</v>
      </c>
      <c r="H367" s="31" t="n">
        <v>45648</v>
      </c>
      <c r="I367" s="0" t="n">
        <v>1</v>
      </c>
      <c r="J367" s="32" t="s">
        <v>34</v>
      </c>
      <c r="K367" s="32" t="s">
        <v>64</v>
      </c>
      <c r="L367" s="32" t="s">
        <v>880</v>
      </c>
      <c r="M367" s="30" t="n">
        <v>3781</v>
      </c>
    </row>
    <row r="368" customFormat="false" ht="15" hidden="false" customHeight="false" outlineLevel="0" collapsed="false">
      <c r="A368" s="0" t="s">
        <v>881</v>
      </c>
      <c r="B368" s="0" t="s">
        <v>407</v>
      </c>
      <c r="C368" s="0" t="s">
        <v>71</v>
      </c>
      <c r="D368" s="0" t="s">
        <v>93</v>
      </c>
      <c r="E368" s="0" t="n">
        <v>5</v>
      </c>
      <c r="F368" s="30" t="n">
        <v>95</v>
      </c>
      <c r="G368" s="31" t="n">
        <v>45117</v>
      </c>
      <c r="H368" s="31" t="n">
        <v>45260</v>
      </c>
      <c r="I368" s="0" t="n">
        <v>143</v>
      </c>
      <c r="J368" s="32" t="s">
        <v>30</v>
      </c>
      <c r="K368" s="32" t="s">
        <v>43</v>
      </c>
      <c r="M368" s="30" t="n">
        <v>0</v>
      </c>
    </row>
    <row r="369" customFormat="false" ht="15" hidden="false" customHeight="false" outlineLevel="0" collapsed="false">
      <c r="A369" s="0" t="s">
        <v>882</v>
      </c>
      <c r="B369" s="0" t="s">
        <v>236</v>
      </c>
      <c r="C369" s="0" t="s">
        <v>72</v>
      </c>
      <c r="D369" s="0" t="s">
        <v>93</v>
      </c>
      <c r="E369" s="0" t="n">
        <v>2</v>
      </c>
      <c r="F369" s="30" t="n">
        <v>98</v>
      </c>
      <c r="G369" s="31" t="n">
        <v>45487</v>
      </c>
      <c r="H369" s="31" t="n">
        <v>45630</v>
      </c>
      <c r="I369" s="0" t="n">
        <v>143</v>
      </c>
      <c r="J369" s="32" t="s">
        <v>34</v>
      </c>
      <c r="K369" s="32" t="s">
        <v>43</v>
      </c>
      <c r="M369" s="30" t="n">
        <v>0</v>
      </c>
    </row>
    <row r="370" customFormat="false" ht="15" hidden="false" customHeight="false" outlineLevel="0" collapsed="false">
      <c r="A370" s="0" t="s">
        <v>883</v>
      </c>
      <c r="B370" s="0" t="s">
        <v>229</v>
      </c>
      <c r="C370" s="0" t="s">
        <v>73</v>
      </c>
      <c r="D370" s="0" t="s">
        <v>93</v>
      </c>
      <c r="E370" s="0" t="n">
        <v>23</v>
      </c>
      <c r="F370" s="30" t="n">
        <v>4577</v>
      </c>
      <c r="G370" s="31" t="n">
        <v>45622</v>
      </c>
      <c r="H370" s="31" t="n">
        <v>45657</v>
      </c>
      <c r="I370" s="0" t="n">
        <v>35</v>
      </c>
      <c r="J370" s="32" t="s">
        <v>34</v>
      </c>
      <c r="K370" s="32" t="s">
        <v>64</v>
      </c>
      <c r="L370" s="32" t="s">
        <v>884</v>
      </c>
      <c r="M370" s="30" t="n">
        <v>0</v>
      </c>
    </row>
    <row r="371" customFormat="false" ht="15" hidden="false" customHeight="false" outlineLevel="0" collapsed="false">
      <c r="A371" s="0" t="s">
        <v>885</v>
      </c>
      <c r="B371" s="0" t="s">
        <v>119</v>
      </c>
      <c r="C371" s="0" t="s">
        <v>73</v>
      </c>
      <c r="D371" s="0" t="s">
        <v>93</v>
      </c>
      <c r="E371" s="0" t="n">
        <v>41</v>
      </c>
      <c r="F371" s="30" t="n">
        <v>8159</v>
      </c>
      <c r="G371" s="31" t="n">
        <v>45439</v>
      </c>
      <c r="H371" s="31" t="n">
        <v>45611</v>
      </c>
      <c r="I371" s="0" t="n">
        <v>172</v>
      </c>
      <c r="J371" s="32" t="s">
        <v>34</v>
      </c>
      <c r="K371" s="32" t="s">
        <v>64</v>
      </c>
      <c r="L371" s="32" t="s">
        <v>886</v>
      </c>
      <c r="M371" s="30" t="n">
        <v>8159</v>
      </c>
    </row>
    <row r="372" customFormat="false" ht="15" hidden="false" customHeight="false" outlineLevel="0" collapsed="false">
      <c r="A372" s="0" t="s">
        <v>887</v>
      </c>
      <c r="B372" s="0" t="s">
        <v>92</v>
      </c>
      <c r="C372" s="0" t="s">
        <v>72</v>
      </c>
      <c r="D372" s="0" t="s">
        <v>93</v>
      </c>
      <c r="E372" s="0" t="n">
        <v>19</v>
      </c>
      <c r="F372" s="30" t="n">
        <v>931</v>
      </c>
      <c r="G372" s="31" t="n">
        <v>45418</v>
      </c>
      <c r="H372" s="31" t="n">
        <v>45621</v>
      </c>
      <c r="I372" s="0" t="n">
        <v>203</v>
      </c>
      <c r="J372" s="32" t="s">
        <v>34</v>
      </c>
      <c r="K372" s="32" t="s">
        <v>43</v>
      </c>
      <c r="M372" s="30" t="n">
        <v>0</v>
      </c>
    </row>
    <row r="373" customFormat="false" ht="15" hidden="false" customHeight="false" outlineLevel="0" collapsed="false">
      <c r="A373" s="0" t="s">
        <v>888</v>
      </c>
      <c r="B373" s="0" t="s">
        <v>676</v>
      </c>
      <c r="C373" s="0" t="s">
        <v>71</v>
      </c>
      <c r="D373" s="0" t="s">
        <v>98</v>
      </c>
      <c r="E373" s="0" t="n">
        <v>62</v>
      </c>
      <c r="F373" s="30" t="n">
        <v>0</v>
      </c>
      <c r="G373" s="31" t="n">
        <v>45195</v>
      </c>
      <c r="H373" s="31" t="n">
        <v>45487</v>
      </c>
      <c r="I373" s="0" t="n">
        <v>292</v>
      </c>
      <c r="J373" s="32" t="s">
        <v>33</v>
      </c>
      <c r="K373" s="32" t="s">
        <v>64</v>
      </c>
      <c r="L373" s="32" t="s">
        <v>889</v>
      </c>
      <c r="M373" s="30" t="n">
        <v>513</v>
      </c>
    </row>
    <row r="374" customFormat="false" ht="15" hidden="false" customHeight="false" outlineLevel="0" collapsed="false">
      <c r="A374" s="0" t="s">
        <v>890</v>
      </c>
      <c r="B374" s="0" t="s">
        <v>251</v>
      </c>
      <c r="C374" s="0" t="s">
        <v>71</v>
      </c>
      <c r="D374" s="0" t="s">
        <v>93</v>
      </c>
      <c r="E374" s="0" t="n">
        <v>18</v>
      </c>
      <c r="F374" s="30" t="n">
        <v>342</v>
      </c>
      <c r="G374" s="31" t="n">
        <v>45397</v>
      </c>
      <c r="H374" s="31" t="n">
        <v>45587</v>
      </c>
      <c r="I374" s="0" t="n">
        <v>190</v>
      </c>
      <c r="J374" s="32" t="s">
        <v>34</v>
      </c>
      <c r="K374" s="32" t="s">
        <v>43</v>
      </c>
      <c r="M374" s="30" t="n">
        <v>0</v>
      </c>
    </row>
    <row r="375" customFormat="false" ht="15" hidden="false" customHeight="false" outlineLevel="0" collapsed="false">
      <c r="A375" s="0" t="s">
        <v>891</v>
      </c>
      <c r="B375" s="0" t="s">
        <v>802</v>
      </c>
      <c r="C375" s="0" t="s">
        <v>71</v>
      </c>
      <c r="D375" s="0" t="s">
        <v>93</v>
      </c>
      <c r="E375" s="0" t="n">
        <v>18</v>
      </c>
      <c r="F375" s="30" t="n">
        <v>342</v>
      </c>
      <c r="G375" s="31" t="n">
        <v>45079</v>
      </c>
      <c r="H375" s="31" t="n">
        <v>45476</v>
      </c>
      <c r="I375" s="0" t="n">
        <v>397</v>
      </c>
      <c r="J375" s="32" t="s">
        <v>33</v>
      </c>
      <c r="K375" s="32" t="s">
        <v>43</v>
      </c>
      <c r="M375" s="30" t="n">
        <v>0</v>
      </c>
    </row>
    <row r="376" customFormat="false" ht="15" hidden="false" customHeight="false" outlineLevel="0" collapsed="false">
      <c r="A376" s="0" t="s">
        <v>892</v>
      </c>
      <c r="B376" s="0" t="s">
        <v>277</v>
      </c>
      <c r="C376" s="0" t="s">
        <v>71</v>
      </c>
      <c r="D376" s="0" t="s">
        <v>93</v>
      </c>
      <c r="E376" s="0" t="n">
        <v>69</v>
      </c>
      <c r="F376" s="30" t="n">
        <v>1311</v>
      </c>
      <c r="G376" s="31" t="n">
        <v>45558</v>
      </c>
      <c r="H376" s="31" t="n">
        <v>45582</v>
      </c>
      <c r="I376" s="0" t="n">
        <v>24</v>
      </c>
      <c r="J376" s="32" t="s">
        <v>34</v>
      </c>
      <c r="K376" s="32" t="s">
        <v>64</v>
      </c>
      <c r="L376" s="32" t="s">
        <v>753</v>
      </c>
      <c r="M376" s="30" t="n">
        <v>13731</v>
      </c>
    </row>
    <row r="377" customFormat="false" ht="15" hidden="false" customHeight="false" outlineLevel="0" collapsed="false">
      <c r="A377" s="0" t="s">
        <v>893</v>
      </c>
      <c r="B377" s="0" t="s">
        <v>865</v>
      </c>
      <c r="C377" s="0" t="s">
        <v>73</v>
      </c>
      <c r="D377" s="0" t="s">
        <v>93</v>
      </c>
      <c r="E377" s="0" t="n">
        <v>23</v>
      </c>
      <c r="F377" s="30" t="n">
        <v>4577</v>
      </c>
      <c r="G377" s="31" t="n">
        <v>45650</v>
      </c>
      <c r="H377" s="31" t="n">
        <v>45655</v>
      </c>
      <c r="I377" s="0" t="n">
        <v>5</v>
      </c>
      <c r="J377" s="32" t="s">
        <v>34</v>
      </c>
      <c r="K377" s="32" t="s">
        <v>64</v>
      </c>
      <c r="L377" s="32" t="s">
        <v>866</v>
      </c>
      <c r="M377" s="30" t="n">
        <v>0</v>
      </c>
    </row>
    <row r="378" customFormat="false" ht="15" hidden="false" customHeight="false" outlineLevel="0" collapsed="false">
      <c r="A378" s="0" t="s">
        <v>894</v>
      </c>
      <c r="B378" s="0" t="s">
        <v>895</v>
      </c>
      <c r="C378" s="0" t="s">
        <v>73</v>
      </c>
      <c r="D378" s="0" t="s">
        <v>93</v>
      </c>
      <c r="E378" s="0" t="n">
        <v>8</v>
      </c>
      <c r="F378" s="30" t="n">
        <v>1592</v>
      </c>
      <c r="G378" s="31" t="n">
        <v>45628</v>
      </c>
      <c r="H378" s="31" t="n">
        <v>45656</v>
      </c>
      <c r="I378" s="0" t="n">
        <v>28</v>
      </c>
      <c r="J378" s="32" t="s">
        <v>34</v>
      </c>
      <c r="K378" s="32" t="s">
        <v>42</v>
      </c>
      <c r="M378" s="30" t="n">
        <v>0</v>
      </c>
    </row>
    <row r="379" customFormat="false" ht="15" hidden="false" customHeight="false" outlineLevel="0" collapsed="false">
      <c r="A379" s="0" t="s">
        <v>896</v>
      </c>
      <c r="B379" s="0" t="s">
        <v>504</v>
      </c>
      <c r="C379" s="0" t="s">
        <v>71</v>
      </c>
      <c r="D379" s="0" t="s">
        <v>93</v>
      </c>
      <c r="E379" s="0" t="n">
        <v>97</v>
      </c>
      <c r="F379" s="30" t="n">
        <v>1843</v>
      </c>
      <c r="G379" s="31" t="n">
        <v>45571</v>
      </c>
      <c r="H379" s="31" t="n">
        <v>45588</v>
      </c>
      <c r="I379" s="0" t="n">
        <v>17</v>
      </c>
      <c r="J379" s="32" t="s">
        <v>34</v>
      </c>
      <c r="K379" s="32" t="s">
        <v>64</v>
      </c>
      <c r="L379" s="32" t="s">
        <v>897</v>
      </c>
      <c r="M379" s="30" t="n">
        <v>855</v>
      </c>
    </row>
    <row r="380" customFormat="false" ht="15" hidden="false" customHeight="false" outlineLevel="0" collapsed="false">
      <c r="A380" s="0" t="s">
        <v>898</v>
      </c>
      <c r="B380" s="0" t="s">
        <v>622</v>
      </c>
      <c r="C380" s="0" t="s">
        <v>72</v>
      </c>
      <c r="D380" s="0" t="s">
        <v>98</v>
      </c>
      <c r="E380" s="0" t="n">
        <v>39</v>
      </c>
      <c r="F380" s="30" t="n">
        <v>0</v>
      </c>
      <c r="G380" s="31" t="n">
        <v>45609</v>
      </c>
      <c r="H380" s="31" t="n">
        <v>45617</v>
      </c>
      <c r="I380" s="0" t="n">
        <v>8</v>
      </c>
      <c r="J380" s="32" t="s">
        <v>34</v>
      </c>
      <c r="K380" s="32" t="s">
        <v>64</v>
      </c>
      <c r="L380" s="32" t="s">
        <v>899</v>
      </c>
      <c r="M380" s="30" t="n">
        <v>0</v>
      </c>
    </row>
    <row r="381" customFormat="false" ht="15" hidden="false" customHeight="false" outlineLevel="0" collapsed="false">
      <c r="A381" s="0" t="s">
        <v>523</v>
      </c>
      <c r="B381" s="0" t="s">
        <v>522</v>
      </c>
      <c r="C381" s="0" t="s">
        <v>71</v>
      </c>
      <c r="D381" s="0" t="s">
        <v>93</v>
      </c>
      <c r="E381" s="0" t="n">
        <v>25</v>
      </c>
      <c r="F381" s="30" t="n">
        <v>475</v>
      </c>
      <c r="G381" s="31" t="n">
        <v>45513</v>
      </c>
      <c r="H381" s="31" t="n">
        <v>45572</v>
      </c>
      <c r="I381" s="0" t="n">
        <v>59</v>
      </c>
      <c r="J381" s="32" t="s">
        <v>34</v>
      </c>
      <c r="K381" s="32" t="s">
        <v>64</v>
      </c>
      <c r="L381" s="32" t="s">
        <v>900</v>
      </c>
      <c r="M381" s="30" t="n">
        <v>4776</v>
      </c>
    </row>
    <row r="382" customFormat="false" ht="15" hidden="false" customHeight="false" outlineLevel="0" collapsed="false">
      <c r="A382" s="0" t="s">
        <v>901</v>
      </c>
      <c r="B382" s="0" t="s">
        <v>902</v>
      </c>
      <c r="C382" s="0" t="s">
        <v>71</v>
      </c>
      <c r="D382" s="0" t="s">
        <v>93</v>
      </c>
      <c r="E382" s="0" t="n">
        <v>148</v>
      </c>
      <c r="F382" s="30" t="n">
        <v>2812</v>
      </c>
      <c r="G382" s="31" t="n">
        <v>45646</v>
      </c>
      <c r="H382" s="31" t="n">
        <v>45655</v>
      </c>
      <c r="I382" s="0" t="n">
        <v>9</v>
      </c>
      <c r="J382" s="32" t="s">
        <v>34</v>
      </c>
      <c r="K382" s="32" t="s">
        <v>64</v>
      </c>
      <c r="L382" s="32" t="s">
        <v>903</v>
      </c>
      <c r="M382" s="30" t="n">
        <v>7252</v>
      </c>
    </row>
    <row r="383" customFormat="false" ht="15" hidden="false" customHeight="false" outlineLevel="0" collapsed="false">
      <c r="A383" s="0" t="s">
        <v>904</v>
      </c>
      <c r="B383" s="0" t="s">
        <v>528</v>
      </c>
      <c r="C383" s="0" t="s">
        <v>73</v>
      </c>
      <c r="D383" s="0" t="s">
        <v>93</v>
      </c>
      <c r="E383" s="0" t="n">
        <v>69</v>
      </c>
      <c r="F383" s="30" t="n">
        <v>13731</v>
      </c>
      <c r="G383" s="31" t="n">
        <v>45629</v>
      </c>
      <c r="H383" s="31" t="n">
        <v>45657</v>
      </c>
      <c r="I383" s="0" t="n">
        <v>28</v>
      </c>
      <c r="J383" s="32" t="s">
        <v>34</v>
      </c>
      <c r="K383" s="32" t="s">
        <v>64</v>
      </c>
      <c r="L383" s="32" t="s">
        <v>529</v>
      </c>
      <c r="M383" s="30" t="n">
        <v>0</v>
      </c>
    </row>
    <row r="384" customFormat="false" ht="15" hidden="false" customHeight="false" outlineLevel="0" collapsed="false">
      <c r="A384" s="0" t="s">
        <v>905</v>
      </c>
      <c r="B384" s="0" t="s">
        <v>906</v>
      </c>
      <c r="C384" s="0" t="s">
        <v>72</v>
      </c>
      <c r="D384" s="0" t="s">
        <v>93</v>
      </c>
      <c r="E384" s="0" t="n">
        <v>6</v>
      </c>
      <c r="F384" s="30" t="n">
        <v>294</v>
      </c>
      <c r="G384" s="31" t="n">
        <v>45642</v>
      </c>
      <c r="H384" s="31" t="n">
        <v>45649</v>
      </c>
      <c r="I384" s="0" t="n">
        <v>7</v>
      </c>
      <c r="J384" s="32" t="s">
        <v>34</v>
      </c>
      <c r="K384" s="32" t="s">
        <v>64</v>
      </c>
      <c r="L384" s="32" t="s">
        <v>907</v>
      </c>
      <c r="M384" s="30" t="n">
        <v>294</v>
      </c>
    </row>
    <row r="385" customFormat="false" ht="15" hidden="false" customHeight="false" outlineLevel="0" collapsed="false">
      <c r="A385" s="0" t="s">
        <v>908</v>
      </c>
      <c r="B385" s="0" t="s">
        <v>909</v>
      </c>
      <c r="C385" s="0" t="s">
        <v>73</v>
      </c>
      <c r="D385" s="0" t="s">
        <v>93</v>
      </c>
      <c r="E385" s="0" t="n">
        <v>20</v>
      </c>
      <c r="F385" s="30" t="n">
        <v>3980</v>
      </c>
      <c r="G385" s="31" t="n">
        <v>45505</v>
      </c>
      <c r="H385" s="31" t="n">
        <v>45518</v>
      </c>
      <c r="I385" s="0" t="n">
        <v>13</v>
      </c>
      <c r="J385" s="32" t="s">
        <v>33</v>
      </c>
      <c r="K385" s="32" t="s">
        <v>43</v>
      </c>
      <c r="M385" s="30" t="n">
        <v>0</v>
      </c>
    </row>
    <row r="386" customFormat="false" ht="15" hidden="false" customHeight="false" outlineLevel="0" collapsed="false">
      <c r="A386" s="0" t="s">
        <v>910</v>
      </c>
      <c r="B386" s="0" t="s">
        <v>200</v>
      </c>
      <c r="C386" s="0" t="s">
        <v>72</v>
      </c>
      <c r="D386" s="0" t="s">
        <v>93</v>
      </c>
      <c r="E386" s="0" t="n">
        <v>8</v>
      </c>
      <c r="F386" s="30" t="n">
        <v>392</v>
      </c>
      <c r="G386" s="31" t="n">
        <v>45606</v>
      </c>
      <c r="H386" s="31" t="n">
        <v>45635</v>
      </c>
      <c r="I386" s="0" t="n">
        <v>29</v>
      </c>
      <c r="J386" s="32" t="s">
        <v>34</v>
      </c>
      <c r="K386" s="32" t="s">
        <v>42</v>
      </c>
      <c r="M386" s="30" t="n">
        <v>0</v>
      </c>
    </row>
    <row r="387" customFormat="false" ht="15" hidden="false" customHeight="false" outlineLevel="0" collapsed="false">
      <c r="A387" s="0" t="s">
        <v>911</v>
      </c>
      <c r="B387" s="0" t="s">
        <v>912</v>
      </c>
      <c r="C387" s="0" t="s">
        <v>73</v>
      </c>
      <c r="D387" s="0" t="s">
        <v>93</v>
      </c>
      <c r="E387" s="0" t="n">
        <v>86</v>
      </c>
      <c r="F387" s="30" t="n">
        <v>17114</v>
      </c>
      <c r="G387" s="31" t="n">
        <v>45623</v>
      </c>
      <c r="H387" s="31" t="n">
        <v>45654</v>
      </c>
      <c r="I387" s="0" t="n">
        <v>31</v>
      </c>
      <c r="J387" s="32" t="s">
        <v>34</v>
      </c>
      <c r="K387" s="32" t="s">
        <v>43</v>
      </c>
      <c r="M387" s="30" t="n">
        <v>0</v>
      </c>
    </row>
    <row r="388" customFormat="false" ht="15" hidden="false" customHeight="false" outlineLevel="0" collapsed="false">
      <c r="A388" s="0" t="s">
        <v>913</v>
      </c>
      <c r="B388" s="0" t="s">
        <v>876</v>
      </c>
      <c r="C388" s="0" t="s">
        <v>73</v>
      </c>
      <c r="D388" s="0" t="s">
        <v>93</v>
      </c>
      <c r="E388" s="0" t="n">
        <v>22</v>
      </c>
      <c r="F388" s="30" t="n">
        <v>4378</v>
      </c>
      <c r="G388" s="31" t="n">
        <v>45646</v>
      </c>
      <c r="H388" s="31" t="n">
        <v>45657</v>
      </c>
      <c r="I388" s="0" t="n">
        <v>11</v>
      </c>
      <c r="J388" s="32" t="s">
        <v>34</v>
      </c>
      <c r="K388" s="32" t="s">
        <v>42</v>
      </c>
      <c r="M388" s="30" t="n">
        <v>0</v>
      </c>
    </row>
    <row r="389" customFormat="false" ht="15" hidden="false" customHeight="false" outlineLevel="0" collapsed="false">
      <c r="A389" s="0" t="s">
        <v>914</v>
      </c>
      <c r="B389" s="0" t="s">
        <v>915</v>
      </c>
      <c r="C389" s="0" t="s">
        <v>72</v>
      </c>
      <c r="D389" s="0" t="s">
        <v>93</v>
      </c>
      <c r="E389" s="0" t="n">
        <v>15</v>
      </c>
      <c r="F389" s="30" t="n">
        <v>735</v>
      </c>
      <c r="G389" s="31" t="n">
        <v>45551</v>
      </c>
      <c r="H389" s="31" t="n">
        <v>45599</v>
      </c>
      <c r="I389" s="0" t="n">
        <v>48</v>
      </c>
      <c r="J389" s="32" t="s">
        <v>34</v>
      </c>
      <c r="K389" s="32" t="s">
        <v>43</v>
      </c>
      <c r="M389" s="30" t="n">
        <v>0</v>
      </c>
    </row>
    <row r="390" customFormat="false" ht="15" hidden="false" customHeight="false" outlineLevel="0" collapsed="false">
      <c r="A390" s="0" t="s">
        <v>916</v>
      </c>
      <c r="B390" s="0" t="s">
        <v>578</v>
      </c>
      <c r="C390" s="0" t="s">
        <v>71</v>
      </c>
      <c r="D390" s="0" t="s">
        <v>98</v>
      </c>
      <c r="E390" s="0" t="n">
        <v>9</v>
      </c>
      <c r="F390" s="30" t="n">
        <v>0</v>
      </c>
      <c r="G390" s="31" t="n">
        <v>45641</v>
      </c>
      <c r="H390" s="31" t="n">
        <v>45652</v>
      </c>
      <c r="I390" s="0" t="n">
        <v>11</v>
      </c>
      <c r="J390" s="32" t="s">
        <v>34</v>
      </c>
      <c r="K390" s="32" t="s">
        <v>42</v>
      </c>
      <c r="M390" s="30" t="n">
        <v>0</v>
      </c>
    </row>
    <row r="391" customFormat="false" ht="15" hidden="false" customHeight="false" outlineLevel="0" collapsed="false">
      <c r="A391" s="0" t="s">
        <v>917</v>
      </c>
      <c r="B391" s="0" t="s">
        <v>876</v>
      </c>
      <c r="C391" s="0" t="s">
        <v>71</v>
      </c>
      <c r="D391" s="0" t="s">
        <v>93</v>
      </c>
      <c r="E391" s="0" t="n">
        <v>34</v>
      </c>
      <c r="F391" s="30" t="n">
        <v>646</v>
      </c>
      <c r="G391" s="31" t="n">
        <v>45122</v>
      </c>
      <c r="H391" s="31" t="n">
        <v>45601</v>
      </c>
      <c r="I391" s="0" t="n">
        <v>479</v>
      </c>
      <c r="J391" s="32" t="s">
        <v>34</v>
      </c>
      <c r="K391" s="32" t="s">
        <v>64</v>
      </c>
      <c r="L391" s="32" t="s">
        <v>918</v>
      </c>
      <c r="M391" s="30" t="n">
        <v>418</v>
      </c>
    </row>
    <row r="392" customFormat="false" ht="15" hidden="false" customHeight="false" outlineLevel="0" collapsed="false">
      <c r="A392" s="0" t="s">
        <v>919</v>
      </c>
      <c r="B392" s="0" t="s">
        <v>920</v>
      </c>
      <c r="C392" s="0" t="s">
        <v>72</v>
      </c>
      <c r="D392" s="0" t="s">
        <v>93</v>
      </c>
      <c r="E392" s="0" t="n">
        <v>40</v>
      </c>
      <c r="F392" s="30" t="n">
        <v>1960</v>
      </c>
      <c r="G392" s="31" t="n">
        <v>45646</v>
      </c>
      <c r="H392" s="31" t="n">
        <v>45655</v>
      </c>
      <c r="I392" s="0" t="n">
        <v>9</v>
      </c>
      <c r="J392" s="32" t="s">
        <v>34</v>
      </c>
      <c r="K392" s="32" t="s">
        <v>64</v>
      </c>
      <c r="L392" s="32" t="s">
        <v>921</v>
      </c>
      <c r="M392" s="30" t="n">
        <v>7960</v>
      </c>
    </row>
    <row r="393" customFormat="false" ht="15" hidden="false" customHeight="false" outlineLevel="0" collapsed="false">
      <c r="A393" s="0" t="s">
        <v>922</v>
      </c>
      <c r="B393" s="0" t="s">
        <v>688</v>
      </c>
      <c r="C393" s="0" t="s">
        <v>71</v>
      </c>
      <c r="D393" s="0" t="s">
        <v>98</v>
      </c>
      <c r="E393" s="0" t="n">
        <v>44</v>
      </c>
      <c r="F393" s="30" t="n">
        <v>0</v>
      </c>
      <c r="G393" s="31" t="n">
        <v>45251</v>
      </c>
      <c r="H393" s="31" t="n">
        <v>45326</v>
      </c>
      <c r="I393" s="0" t="n">
        <v>75</v>
      </c>
      <c r="J393" s="32" t="s">
        <v>31</v>
      </c>
      <c r="K393" s="32" t="s">
        <v>43</v>
      </c>
      <c r="M393" s="30" t="n">
        <v>0</v>
      </c>
    </row>
    <row r="394" customFormat="false" ht="15" hidden="false" customHeight="false" outlineLevel="0" collapsed="false">
      <c r="A394" s="0" t="s">
        <v>923</v>
      </c>
      <c r="B394" s="0" t="s">
        <v>924</v>
      </c>
      <c r="C394" s="0" t="s">
        <v>72</v>
      </c>
      <c r="D394" s="0" t="s">
        <v>93</v>
      </c>
      <c r="E394" s="0" t="n">
        <v>17</v>
      </c>
      <c r="F394" s="30" t="n">
        <v>833</v>
      </c>
      <c r="G394" s="31" t="n">
        <v>45356</v>
      </c>
      <c r="H394" s="31" t="n">
        <v>45576</v>
      </c>
      <c r="I394" s="0" t="n">
        <v>220</v>
      </c>
      <c r="J394" s="32" t="s">
        <v>34</v>
      </c>
      <c r="K394" s="32" t="s">
        <v>43</v>
      </c>
      <c r="M394" s="30" t="n">
        <v>0</v>
      </c>
    </row>
    <row r="395" customFormat="false" ht="15" hidden="false" customHeight="false" outlineLevel="0" collapsed="false">
      <c r="A395" s="0" t="s">
        <v>925</v>
      </c>
      <c r="B395" s="0" t="s">
        <v>926</v>
      </c>
      <c r="C395" s="0" t="s">
        <v>73</v>
      </c>
      <c r="D395" s="0" t="s">
        <v>98</v>
      </c>
      <c r="E395" s="0" t="n">
        <v>13</v>
      </c>
      <c r="F395" s="30" t="n">
        <v>0</v>
      </c>
      <c r="G395" s="31" t="n">
        <v>45399</v>
      </c>
      <c r="H395" s="31" t="n">
        <v>45441</v>
      </c>
      <c r="I395" s="0" t="n">
        <v>42</v>
      </c>
      <c r="J395" s="32" t="s">
        <v>32</v>
      </c>
      <c r="K395" s="32" t="s">
        <v>43</v>
      </c>
      <c r="M395" s="30" t="n">
        <v>0</v>
      </c>
    </row>
    <row r="396" customFormat="false" ht="15" hidden="false" customHeight="false" outlineLevel="0" collapsed="false">
      <c r="A396" s="0" t="s">
        <v>927</v>
      </c>
      <c r="B396" s="0" t="s">
        <v>928</v>
      </c>
      <c r="C396" s="0" t="s">
        <v>72</v>
      </c>
      <c r="D396" s="0" t="s">
        <v>93</v>
      </c>
      <c r="E396" s="0" t="n">
        <v>14</v>
      </c>
      <c r="F396" s="30" t="n">
        <v>686</v>
      </c>
      <c r="G396" s="31" t="n">
        <v>45614</v>
      </c>
      <c r="H396" s="31" t="n">
        <v>45620</v>
      </c>
      <c r="I396" s="0" t="n">
        <v>6</v>
      </c>
      <c r="J396" s="32" t="s">
        <v>34</v>
      </c>
      <c r="K396" s="32" t="s">
        <v>64</v>
      </c>
      <c r="L396" s="32" t="s">
        <v>929</v>
      </c>
      <c r="M396" s="30" t="n">
        <v>4577</v>
      </c>
    </row>
    <row r="397" customFormat="false" ht="15" hidden="false" customHeight="false" outlineLevel="0" collapsed="false">
      <c r="A397" s="0" t="s">
        <v>930</v>
      </c>
      <c r="B397" s="0" t="s">
        <v>931</v>
      </c>
      <c r="C397" s="0" t="s">
        <v>73</v>
      </c>
      <c r="D397" s="0" t="s">
        <v>93</v>
      </c>
      <c r="E397" s="0" t="n">
        <v>103</v>
      </c>
      <c r="F397" s="30" t="n">
        <v>20497</v>
      </c>
      <c r="G397" s="31" t="n">
        <v>45408</v>
      </c>
      <c r="H397" s="31" t="n">
        <v>45622</v>
      </c>
      <c r="I397" s="0" t="n">
        <v>214</v>
      </c>
      <c r="J397" s="32" t="s">
        <v>34</v>
      </c>
      <c r="K397" s="32" t="s">
        <v>64</v>
      </c>
      <c r="L397" s="32" t="s">
        <v>932</v>
      </c>
      <c r="M397" s="30" t="n">
        <v>247</v>
      </c>
    </row>
    <row r="398" customFormat="false" ht="15" hidden="false" customHeight="false" outlineLevel="0" collapsed="false">
      <c r="A398" s="0" t="s">
        <v>933</v>
      </c>
      <c r="B398" s="0" t="s">
        <v>746</v>
      </c>
      <c r="C398" s="0" t="s">
        <v>73</v>
      </c>
      <c r="D398" s="0" t="s">
        <v>93</v>
      </c>
      <c r="E398" s="0" t="n">
        <v>21</v>
      </c>
      <c r="F398" s="30" t="n">
        <v>4179</v>
      </c>
      <c r="G398" s="31" t="n">
        <v>45605</v>
      </c>
      <c r="H398" s="31" t="n">
        <v>45615</v>
      </c>
      <c r="I398" s="0" t="n">
        <v>10</v>
      </c>
      <c r="J398" s="32" t="s">
        <v>34</v>
      </c>
      <c r="K398" s="32" t="s">
        <v>64</v>
      </c>
      <c r="L398" s="32" t="s">
        <v>934</v>
      </c>
      <c r="M398" s="30" t="n">
        <v>0</v>
      </c>
    </row>
    <row r="399" customFormat="false" ht="15" hidden="false" customHeight="false" outlineLevel="0" collapsed="false">
      <c r="A399" s="0" t="s">
        <v>935</v>
      </c>
      <c r="B399" s="0" t="s">
        <v>936</v>
      </c>
      <c r="C399" s="0" t="s">
        <v>73</v>
      </c>
      <c r="D399" s="0" t="s">
        <v>93</v>
      </c>
      <c r="E399" s="0" t="n">
        <v>29</v>
      </c>
      <c r="F399" s="30" t="n">
        <v>5771</v>
      </c>
      <c r="G399" s="31" t="n">
        <v>45590</v>
      </c>
      <c r="H399" s="31" t="n">
        <v>45620</v>
      </c>
      <c r="I399" s="0" t="n">
        <v>30</v>
      </c>
      <c r="J399" s="32" t="s">
        <v>34</v>
      </c>
      <c r="K399" s="32" t="s">
        <v>64</v>
      </c>
      <c r="L399" s="32" t="s">
        <v>937</v>
      </c>
      <c r="M399" s="30" t="n">
        <v>5771</v>
      </c>
    </row>
    <row r="400" customFormat="false" ht="15" hidden="false" customHeight="false" outlineLevel="0" collapsed="false">
      <c r="A400" s="0" t="s">
        <v>938</v>
      </c>
      <c r="B400" s="0" t="s">
        <v>939</v>
      </c>
      <c r="C400" s="0" t="s">
        <v>72</v>
      </c>
      <c r="D400" s="0" t="s">
        <v>93</v>
      </c>
      <c r="E400" s="0" t="n">
        <v>35</v>
      </c>
      <c r="F400" s="30" t="n">
        <v>1715</v>
      </c>
      <c r="G400" s="31" t="n">
        <v>45323</v>
      </c>
      <c r="H400" s="31" t="n">
        <v>45356</v>
      </c>
      <c r="I400" s="0" t="n">
        <v>33</v>
      </c>
      <c r="J400" s="32" t="s">
        <v>31</v>
      </c>
      <c r="K400" s="32" t="s">
        <v>64</v>
      </c>
      <c r="L400" s="32" t="s">
        <v>940</v>
      </c>
      <c r="M400" s="30" t="n">
        <v>833</v>
      </c>
    </row>
    <row r="401" customFormat="false" ht="15" hidden="false" customHeight="false" outlineLevel="0" collapsed="false">
      <c r="A401" s="0" t="s">
        <v>941</v>
      </c>
      <c r="B401" s="0" t="s">
        <v>942</v>
      </c>
      <c r="C401" s="0" t="s">
        <v>73</v>
      </c>
      <c r="D401" s="0" t="s">
        <v>93</v>
      </c>
      <c r="E401" s="0" t="n">
        <v>87</v>
      </c>
      <c r="F401" s="30" t="n">
        <v>17313</v>
      </c>
      <c r="G401" s="31" t="n">
        <v>45602</v>
      </c>
      <c r="H401" s="31" t="n">
        <v>45657</v>
      </c>
      <c r="I401" s="0" t="n">
        <v>55</v>
      </c>
      <c r="J401" s="32" t="s">
        <v>34</v>
      </c>
      <c r="K401" s="32" t="s">
        <v>64</v>
      </c>
      <c r="L401" s="32" t="s">
        <v>943</v>
      </c>
      <c r="M401" s="30" t="n">
        <v>4263</v>
      </c>
    </row>
    <row r="402" customFormat="false" ht="15" hidden="false" customHeight="false" outlineLevel="0" collapsed="false">
      <c r="A402" s="0" t="s">
        <v>944</v>
      </c>
      <c r="B402" s="0" t="s">
        <v>398</v>
      </c>
      <c r="C402" s="0" t="s">
        <v>73</v>
      </c>
      <c r="D402" s="0" t="s">
        <v>93</v>
      </c>
      <c r="E402" s="0" t="n">
        <v>9</v>
      </c>
      <c r="F402" s="30" t="n">
        <v>1791</v>
      </c>
      <c r="G402" s="31" t="n">
        <v>45616</v>
      </c>
      <c r="H402" s="31" t="n">
        <v>45630</v>
      </c>
      <c r="I402" s="0" t="n">
        <v>14</v>
      </c>
      <c r="J402" s="32" t="s">
        <v>34</v>
      </c>
      <c r="K402" s="32" t="s">
        <v>42</v>
      </c>
      <c r="M402" s="30" t="n">
        <v>0</v>
      </c>
    </row>
    <row r="403" customFormat="false" ht="15" hidden="false" customHeight="false" outlineLevel="0" collapsed="false">
      <c r="A403" s="0" t="s">
        <v>945</v>
      </c>
      <c r="B403" s="0" t="s">
        <v>946</v>
      </c>
      <c r="C403" s="0" t="s">
        <v>72</v>
      </c>
      <c r="D403" s="0" t="s">
        <v>93</v>
      </c>
      <c r="E403" s="0" t="n">
        <v>12</v>
      </c>
      <c r="F403" s="30" t="n">
        <v>588</v>
      </c>
      <c r="G403" s="31" t="n">
        <v>45646</v>
      </c>
      <c r="H403" s="31" t="n">
        <v>45648</v>
      </c>
      <c r="I403" s="0" t="n">
        <v>2</v>
      </c>
      <c r="J403" s="32" t="s">
        <v>34</v>
      </c>
      <c r="K403" s="32" t="s">
        <v>64</v>
      </c>
      <c r="L403" s="32" t="s">
        <v>947</v>
      </c>
      <c r="M403" s="30" t="n">
        <v>4557</v>
      </c>
    </row>
    <row r="404" customFormat="false" ht="15" hidden="false" customHeight="false" outlineLevel="0" collapsed="false">
      <c r="A404" s="0" t="s">
        <v>948</v>
      </c>
      <c r="B404" s="0" t="s">
        <v>538</v>
      </c>
      <c r="C404" s="0" t="s">
        <v>72</v>
      </c>
      <c r="D404" s="0" t="s">
        <v>93</v>
      </c>
      <c r="E404" s="0" t="n">
        <v>15</v>
      </c>
      <c r="F404" s="30" t="n">
        <v>735</v>
      </c>
      <c r="G404" s="31" t="n">
        <v>45194</v>
      </c>
      <c r="H404" s="31" t="n">
        <v>45298</v>
      </c>
      <c r="I404" s="0" t="n">
        <v>104</v>
      </c>
      <c r="J404" s="32" t="s">
        <v>31</v>
      </c>
      <c r="K404" s="32" t="s">
        <v>64</v>
      </c>
      <c r="L404" s="32" t="s">
        <v>949</v>
      </c>
      <c r="M404" s="30" t="n">
        <v>735</v>
      </c>
    </row>
    <row r="405" customFormat="false" ht="15" hidden="false" customHeight="false" outlineLevel="0" collapsed="false">
      <c r="A405" s="0" t="s">
        <v>950</v>
      </c>
      <c r="B405" s="0" t="s">
        <v>711</v>
      </c>
      <c r="C405" s="0" t="s">
        <v>72</v>
      </c>
      <c r="D405" s="0" t="s">
        <v>93</v>
      </c>
      <c r="E405" s="0" t="n">
        <v>28</v>
      </c>
      <c r="F405" s="30" t="n">
        <v>1372</v>
      </c>
      <c r="G405" s="31" t="n">
        <v>45623</v>
      </c>
      <c r="H405" s="31" t="n">
        <v>45642</v>
      </c>
      <c r="I405" s="0" t="n">
        <v>19</v>
      </c>
      <c r="J405" s="32" t="s">
        <v>34</v>
      </c>
      <c r="K405" s="32" t="s">
        <v>64</v>
      </c>
      <c r="L405" s="32" t="s">
        <v>951</v>
      </c>
      <c r="M405" s="30" t="n">
        <v>2009</v>
      </c>
    </row>
    <row r="406" customFormat="false" ht="15" hidden="false" customHeight="false" outlineLevel="0" collapsed="false">
      <c r="A406" s="0" t="s">
        <v>952</v>
      </c>
      <c r="B406" s="0" t="s">
        <v>591</v>
      </c>
      <c r="C406" s="0" t="s">
        <v>71</v>
      </c>
      <c r="D406" s="0" t="s">
        <v>93</v>
      </c>
      <c r="E406" s="0" t="n">
        <v>10</v>
      </c>
      <c r="F406" s="30" t="n">
        <v>190</v>
      </c>
      <c r="G406" s="31" t="n">
        <v>45611</v>
      </c>
      <c r="H406" s="31" t="n">
        <v>45611</v>
      </c>
      <c r="I406" s="0" t="n">
        <v>0</v>
      </c>
      <c r="J406" s="32" t="s">
        <v>34</v>
      </c>
      <c r="K406" s="32" t="s">
        <v>64</v>
      </c>
      <c r="L406" s="32" t="s">
        <v>953</v>
      </c>
      <c r="M406" s="30" t="n">
        <v>1539</v>
      </c>
    </row>
    <row r="407" customFormat="false" ht="15" hidden="false" customHeight="false" outlineLevel="0" collapsed="false">
      <c r="A407" s="0" t="s">
        <v>954</v>
      </c>
      <c r="B407" s="0" t="s">
        <v>834</v>
      </c>
      <c r="C407" s="0" t="s">
        <v>71</v>
      </c>
      <c r="D407" s="0" t="s">
        <v>93</v>
      </c>
      <c r="E407" s="0" t="n">
        <v>26</v>
      </c>
      <c r="F407" s="30" t="n">
        <v>494</v>
      </c>
      <c r="G407" s="31" t="n">
        <v>45593</v>
      </c>
      <c r="H407" s="31" t="n">
        <v>45598</v>
      </c>
      <c r="I407" s="0" t="n">
        <v>5</v>
      </c>
      <c r="J407" s="32" t="s">
        <v>34</v>
      </c>
      <c r="K407" s="32" t="s">
        <v>64</v>
      </c>
      <c r="L407" s="32" t="s">
        <v>955</v>
      </c>
      <c r="M407" s="30" t="n">
        <v>5174</v>
      </c>
    </row>
    <row r="408" customFormat="false" ht="15" hidden="false" customHeight="false" outlineLevel="0" collapsed="false">
      <c r="A408" s="0" t="s">
        <v>956</v>
      </c>
      <c r="B408" s="0" t="s">
        <v>693</v>
      </c>
      <c r="C408" s="0" t="s">
        <v>72</v>
      </c>
      <c r="D408" s="0" t="s">
        <v>93</v>
      </c>
      <c r="E408" s="0" t="n">
        <v>4</v>
      </c>
      <c r="F408" s="30" t="n">
        <v>196</v>
      </c>
      <c r="G408" s="31" t="n">
        <v>45643</v>
      </c>
      <c r="H408" s="31" t="n">
        <v>45644</v>
      </c>
      <c r="I408" s="0" t="n">
        <v>1</v>
      </c>
      <c r="J408" s="32" t="s">
        <v>34</v>
      </c>
      <c r="K408" s="32" t="s">
        <v>42</v>
      </c>
      <c r="M408" s="30" t="n">
        <v>0</v>
      </c>
    </row>
    <row r="409" customFormat="false" ht="15" hidden="false" customHeight="false" outlineLevel="0" collapsed="false">
      <c r="A409" s="0" t="s">
        <v>957</v>
      </c>
      <c r="B409" s="0" t="s">
        <v>958</v>
      </c>
      <c r="C409" s="0" t="s">
        <v>73</v>
      </c>
      <c r="D409" s="0" t="s">
        <v>93</v>
      </c>
      <c r="E409" s="0" t="n">
        <v>26</v>
      </c>
      <c r="F409" s="30" t="n">
        <v>5174</v>
      </c>
      <c r="G409" s="31" t="n">
        <v>45638</v>
      </c>
      <c r="H409" s="31" t="n">
        <v>45641</v>
      </c>
      <c r="I409" s="0" t="n">
        <v>3</v>
      </c>
      <c r="J409" s="32" t="s">
        <v>34</v>
      </c>
      <c r="K409" s="32" t="s">
        <v>42</v>
      </c>
      <c r="M409" s="30" t="n">
        <v>0</v>
      </c>
    </row>
    <row r="410" customFormat="false" ht="15" hidden="false" customHeight="false" outlineLevel="0" collapsed="false">
      <c r="A410" s="0" t="s">
        <v>959</v>
      </c>
      <c r="B410" s="0" t="s">
        <v>320</v>
      </c>
      <c r="C410" s="0" t="s">
        <v>71</v>
      </c>
      <c r="D410" s="0" t="s">
        <v>93</v>
      </c>
      <c r="E410" s="0" t="n">
        <v>26</v>
      </c>
      <c r="F410" s="30" t="n">
        <v>494</v>
      </c>
      <c r="G410" s="31" t="n">
        <v>45250</v>
      </c>
      <c r="H410" s="31" t="n">
        <v>45471</v>
      </c>
      <c r="I410" s="0" t="n">
        <v>221</v>
      </c>
      <c r="J410" s="32" t="s">
        <v>32</v>
      </c>
      <c r="K410" s="32" t="s">
        <v>64</v>
      </c>
      <c r="L410" s="32" t="s">
        <v>960</v>
      </c>
      <c r="M410" s="30" t="n">
        <v>1568</v>
      </c>
    </row>
    <row r="411" customFormat="false" ht="15" hidden="false" customHeight="false" outlineLevel="0" collapsed="false">
      <c r="A411" s="0" t="s">
        <v>961</v>
      </c>
      <c r="B411" s="0" t="s">
        <v>962</v>
      </c>
      <c r="C411" s="0" t="s">
        <v>71</v>
      </c>
      <c r="D411" s="0" t="s">
        <v>93</v>
      </c>
      <c r="E411" s="0" t="n">
        <v>8</v>
      </c>
      <c r="F411" s="30" t="n">
        <v>152</v>
      </c>
      <c r="G411" s="31" t="n">
        <v>45415</v>
      </c>
      <c r="H411" s="31" t="n">
        <v>45487</v>
      </c>
      <c r="I411" s="0" t="n">
        <v>72</v>
      </c>
      <c r="J411" s="32" t="s">
        <v>33</v>
      </c>
      <c r="K411" s="32" t="s">
        <v>43</v>
      </c>
      <c r="M411" s="30" t="n">
        <v>0</v>
      </c>
    </row>
    <row r="412" customFormat="false" ht="15" hidden="false" customHeight="false" outlineLevel="0" collapsed="false">
      <c r="A412" s="0" t="s">
        <v>963</v>
      </c>
      <c r="B412" s="0" t="s">
        <v>810</v>
      </c>
      <c r="C412" s="0" t="s">
        <v>71</v>
      </c>
      <c r="D412" s="0" t="s">
        <v>93</v>
      </c>
      <c r="E412" s="0" t="n">
        <v>31</v>
      </c>
      <c r="F412" s="30" t="n">
        <v>589</v>
      </c>
      <c r="G412" s="31" t="n">
        <v>45286</v>
      </c>
      <c r="H412" s="31" t="n">
        <v>45406</v>
      </c>
      <c r="I412" s="0" t="n">
        <v>120</v>
      </c>
      <c r="J412" s="32" t="s">
        <v>32</v>
      </c>
      <c r="K412" s="32" t="s">
        <v>43</v>
      </c>
      <c r="M412" s="30" t="n">
        <v>0</v>
      </c>
    </row>
    <row r="413" customFormat="false" ht="15" hidden="false" customHeight="false" outlineLevel="0" collapsed="false">
      <c r="A413" s="0" t="s">
        <v>964</v>
      </c>
      <c r="B413" s="0" t="s">
        <v>368</v>
      </c>
      <c r="C413" s="0" t="s">
        <v>73</v>
      </c>
      <c r="D413" s="0" t="s">
        <v>93</v>
      </c>
      <c r="E413" s="0" t="n">
        <v>40</v>
      </c>
      <c r="F413" s="30" t="n">
        <v>7960</v>
      </c>
      <c r="G413" s="31" t="n">
        <v>45333</v>
      </c>
      <c r="H413" s="31" t="n">
        <v>45593</v>
      </c>
      <c r="I413" s="0" t="n">
        <v>260</v>
      </c>
      <c r="J413" s="32" t="s">
        <v>34</v>
      </c>
      <c r="K413" s="32" t="s">
        <v>43</v>
      </c>
      <c r="M413" s="30" t="n">
        <v>0</v>
      </c>
    </row>
    <row r="414" customFormat="false" ht="15" hidden="false" customHeight="false" outlineLevel="0" collapsed="false">
      <c r="A414" s="0" t="s">
        <v>965</v>
      </c>
      <c r="B414" s="0" t="s">
        <v>732</v>
      </c>
      <c r="C414" s="0" t="s">
        <v>73</v>
      </c>
      <c r="D414" s="0" t="s">
        <v>93</v>
      </c>
      <c r="E414" s="0" t="n">
        <v>13</v>
      </c>
      <c r="F414" s="30" t="n">
        <v>2587</v>
      </c>
      <c r="G414" s="31" t="n">
        <v>45657</v>
      </c>
      <c r="H414" s="31" t="n">
        <v>45657</v>
      </c>
      <c r="I414" s="0" t="n">
        <v>0</v>
      </c>
      <c r="J414" s="32" t="s">
        <v>34</v>
      </c>
      <c r="K414" s="32" t="s">
        <v>64</v>
      </c>
      <c r="L414" s="32" t="s">
        <v>733</v>
      </c>
      <c r="M414" s="30" t="n">
        <v>0</v>
      </c>
    </row>
    <row r="415" customFormat="false" ht="15" hidden="false" customHeight="false" outlineLevel="0" collapsed="false">
      <c r="A415" s="0" t="s">
        <v>830</v>
      </c>
      <c r="B415" s="0" t="s">
        <v>829</v>
      </c>
      <c r="C415" s="0" t="s">
        <v>73</v>
      </c>
      <c r="D415" s="0" t="s">
        <v>93</v>
      </c>
      <c r="E415" s="0" t="n">
        <v>26</v>
      </c>
      <c r="F415" s="30" t="n">
        <v>5174</v>
      </c>
      <c r="G415" s="31" t="n">
        <v>45621</v>
      </c>
      <c r="H415" s="31" t="n">
        <v>45657</v>
      </c>
      <c r="I415" s="0" t="n">
        <v>36</v>
      </c>
      <c r="J415" s="32" t="s">
        <v>34</v>
      </c>
      <c r="K415" s="32" t="s">
        <v>43</v>
      </c>
      <c r="M415" s="30" t="n">
        <v>0</v>
      </c>
    </row>
    <row r="416" customFormat="false" ht="15" hidden="false" customHeight="false" outlineLevel="0" collapsed="false">
      <c r="A416" s="0" t="s">
        <v>966</v>
      </c>
      <c r="B416" s="0" t="s">
        <v>967</v>
      </c>
      <c r="C416" s="0" t="s">
        <v>71</v>
      </c>
      <c r="D416" s="0" t="s">
        <v>98</v>
      </c>
      <c r="E416" s="0" t="n">
        <v>3</v>
      </c>
      <c r="F416" s="30" t="n">
        <v>0</v>
      </c>
      <c r="G416" s="31" t="n">
        <v>45569</v>
      </c>
      <c r="H416" s="31" t="n">
        <v>45596</v>
      </c>
      <c r="I416" s="0" t="n">
        <v>27</v>
      </c>
      <c r="J416" s="32" t="s">
        <v>34</v>
      </c>
      <c r="K416" s="32" t="s">
        <v>42</v>
      </c>
      <c r="M416" s="30" t="n">
        <v>0</v>
      </c>
    </row>
    <row r="417" customFormat="false" ht="15" hidden="false" customHeight="false" outlineLevel="0" collapsed="false">
      <c r="A417" s="0" t="s">
        <v>968</v>
      </c>
      <c r="B417" s="0" t="s">
        <v>969</v>
      </c>
      <c r="C417" s="0" t="s">
        <v>73</v>
      </c>
      <c r="D417" s="0" t="s">
        <v>93</v>
      </c>
      <c r="E417" s="0" t="n">
        <v>24</v>
      </c>
      <c r="F417" s="30" t="n">
        <v>4776</v>
      </c>
      <c r="G417" s="31" t="n">
        <v>45586</v>
      </c>
      <c r="H417" s="31" t="n">
        <v>45608</v>
      </c>
      <c r="I417" s="0" t="n">
        <v>22</v>
      </c>
      <c r="J417" s="32" t="s">
        <v>34</v>
      </c>
      <c r="K417" s="32" t="s">
        <v>64</v>
      </c>
      <c r="L417" s="32" t="s">
        <v>970</v>
      </c>
      <c r="M417" s="30" t="n">
        <v>2587</v>
      </c>
    </row>
    <row r="418" customFormat="false" ht="15" hidden="false" customHeight="false" outlineLevel="0" collapsed="false">
      <c r="A418" s="0" t="s">
        <v>971</v>
      </c>
      <c r="B418" s="0" t="s">
        <v>511</v>
      </c>
      <c r="C418" s="0" t="s">
        <v>72</v>
      </c>
      <c r="D418" s="0" t="s">
        <v>93</v>
      </c>
      <c r="E418" s="0" t="n">
        <v>11</v>
      </c>
      <c r="F418" s="30" t="n">
        <v>539</v>
      </c>
      <c r="G418" s="31" t="n">
        <v>45622</v>
      </c>
      <c r="H418" s="31" t="n">
        <v>45646</v>
      </c>
      <c r="I418" s="0" t="n">
        <v>24</v>
      </c>
      <c r="J418" s="32" t="s">
        <v>34</v>
      </c>
      <c r="K418" s="32" t="s">
        <v>64</v>
      </c>
      <c r="L418" s="32" t="s">
        <v>510</v>
      </c>
      <c r="M418" s="30" t="n">
        <v>2388</v>
      </c>
    </row>
    <row r="419" customFormat="false" ht="15" hidden="false" customHeight="false" outlineLevel="0" collapsed="false">
      <c r="A419" s="0" t="s">
        <v>972</v>
      </c>
      <c r="B419" s="0" t="s">
        <v>702</v>
      </c>
      <c r="C419" s="0" t="s">
        <v>72</v>
      </c>
      <c r="D419" s="0" t="s">
        <v>98</v>
      </c>
      <c r="E419" s="0" t="n">
        <v>39</v>
      </c>
      <c r="F419" s="30" t="n">
        <v>0</v>
      </c>
      <c r="G419" s="31" t="n">
        <v>45313</v>
      </c>
      <c r="H419" s="31" t="n">
        <v>45594</v>
      </c>
      <c r="I419" s="0" t="n">
        <v>281</v>
      </c>
      <c r="J419" s="32" t="s">
        <v>34</v>
      </c>
      <c r="K419" s="32" t="s">
        <v>64</v>
      </c>
      <c r="L419" s="32" t="s">
        <v>973</v>
      </c>
      <c r="M419" s="30" t="n">
        <v>1911</v>
      </c>
    </row>
    <row r="420" customFormat="false" ht="15" hidden="false" customHeight="false" outlineLevel="0" collapsed="false">
      <c r="A420" s="0" t="s">
        <v>974</v>
      </c>
      <c r="B420" s="0" t="s">
        <v>975</v>
      </c>
      <c r="C420" s="0" t="s">
        <v>73</v>
      </c>
      <c r="D420" s="0" t="s">
        <v>93</v>
      </c>
      <c r="E420" s="0" t="n">
        <v>128</v>
      </c>
      <c r="F420" s="30" t="n">
        <v>25472</v>
      </c>
      <c r="G420" s="31" t="n">
        <v>45650</v>
      </c>
      <c r="H420" s="31" t="n">
        <v>45652</v>
      </c>
      <c r="I420" s="0" t="n">
        <v>2</v>
      </c>
      <c r="J420" s="32" t="s">
        <v>34</v>
      </c>
      <c r="K420" s="32" t="s">
        <v>64</v>
      </c>
      <c r="L420" s="32" t="s">
        <v>976</v>
      </c>
      <c r="M420" s="30" t="n">
        <v>6368</v>
      </c>
    </row>
    <row r="421" customFormat="false" ht="15" hidden="false" customHeight="false" outlineLevel="0" collapsed="false">
      <c r="A421" s="0" t="s">
        <v>977</v>
      </c>
      <c r="B421" s="0" t="s">
        <v>850</v>
      </c>
      <c r="C421" s="0" t="s">
        <v>71</v>
      </c>
      <c r="D421" s="0" t="s">
        <v>98</v>
      </c>
      <c r="E421" s="0" t="n">
        <v>19</v>
      </c>
      <c r="F421" s="30" t="n">
        <v>0</v>
      </c>
      <c r="G421" s="31" t="n">
        <v>45353</v>
      </c>
      <c r="H421" s="31" t="n">
        <v>45567</v>
      </c>
      <c r="I421" s="0" t="n">
        <v>214</v>
      </c>
      <c r="J421" s="32" t="s">
        <v>34</v>
      </c>
      <c r="K421" s="32" t="s">
        <v>43</v>
      </c>
      <c r="M421" s="30" t="n">
        <v>0</v>
      </c>
    </row>
    <row r="422" customFormat="false" ht="15" hidden="false" customHeight="false" outlineLevel="0" collapsed="false">
      <c r="A422" s="0" t="s">
        <v>978</v>
      </c>
      <c r="B422" s="0" t="s">
        <v>542</v>
      </c>
      <c r="C422" s="0" t="s">
        <v>72</v>
      </c>
      <c r="D422" s="0" t="s">
        <v>93</v>
      </c>
      <c r="E422" s="0" t="n">
        <v>32</v>
      </c>
      <c r="F422" s="30" t="n">
        <v>1568</v>
      </c>
      <c r="G422" s="31" t="n">
        <v>45643</v>
      </c>
      <c r="H422" s="31" t="n">
        <v>45646</v>
      </c>
      <c r="I422" s="0" t="n">
        <v>3</v>
      </c>
      <c r="J422" s="32" t="s">
        <v>34</v>
      </c>
      <c r="K422" s="32" t="s">
        <v>42</v>
      </c>
      <c r="M422" s="30" t="n">
        <v>0</v>
      </c>
    </row>
    <row r="423" customFormat="false" ht="15" hidden="false" customHeight="false" outlineLevel="0" collapsed="false">
      <c r="A423" s="0" t="s">
        <v>979</v>
      </c>
      <c r="B423" s="0" t="s">
        <v>428</v>
      </c>
      <c r="C423" s="0" t="s">
        <v>72</v>
      </c>
      <c r="D423" s="0" t="s">
        <v>93</v>
      </c>
      <c r="E423" s="0" t="n">
        <v>12</v>
      </c>
      <c r="F423" s="30" t="n">
        <v>588</v>
      </c>
      <c r="G423" s="31" t="n">
        <v>45428</v>
      </c>
      <c r="H423" s="31" t="n">
        <v>45502</v>
      </c>
      <c r="I423" s="0" t="n">
        <v>74</v>
      </c>
      <c r="J423" s="32" t="s">
        <v>33</v>
      </c>
      <c r="K423" s="32" t="s">
        <v>64</v>
      </c>
      <c r="L423" s="32" t="s">
        <v>980</v>
      </c>
      <c r="M423" s="30" t="n">
        <v>228</v>
      </c>
    </row>
    <row r="424" customFormat="false" ht="15" hidden="false" customHeight="false" outlineLevel="0" collapsed="false">
      <c r="A424" s="0" t="s">
        <v>981</v>
      </c>
      <c r="B424" s="0" t="s">
        <v>982</v>
      </c>
      <c r="C424" s="0" t="s">
        <v>72</v>
      </c>
      <c r="D424" s="0" t="s">
        <v>93</v>
      </c>
      <c r="E424" s="0" t="n">
        <v>70</v>
      </c>
      <c r="F424" s="30" t="n">
        <v>3430</v>
      </c>
      <c r="G424" s="31" t="n">
        <v>45497</v>
      </c>
      <c r="H424" s="31" t="n">
        <v>45571</v>
      </c>
      <c r="I424" s="0" t="n">
        <v>74</v>
      </c>
      <c r="J424" s="32" t="s">
        <v>34</v>
      </c>
      <c r="K424" s="32" t="s">
        <v>43</v>
      </c>
      <c r="M424" s="30" t="n">
        <v>0</v>
      </c>
    </row>
    <row r="425" customFormat="false" ht="15" hidden="false" customHeight="false" outlineLevel="0" collapsed="false">
      <c r="A425" s="0" t="s">
        <v>983</v>
      </c>
      <c r="B425" s="0" t="s">
        <v>984</v>
      </c>
      <c r="C425" s="0" t="s">
        <v>71</v>
      </c>
      <c r="D425" s="0" t="s">
        <v>98</v>
      </c>
      <c r="E425" s="0" t="n">
        <v>5</v>
      </c>
      <c r="F425" s="30" t="n">
        <v>0</v>
      </c>
      <c r="G425" s="31" t="n">
        <v>45561</v>
      </c>
      <c r="H425" s="31" t="n">
        <v>45598</v>
      </c>
      <c r="I425" s="0" t="n">
        <v>37</v>
      </c>
      <c r="J425" s="32" t="s">
        <v>34</v>
      </c>
      <c r="K425" s="32" t="s">
        <v>43</v>
      </c>
      <c r="M425" s="30" t="n">
        <v>0</v>
      </c>
    </row>
    <row r="426" customFormat="false" ht="15" hidden="false" customHeight="false" outlineLevel="0" collapsed="false">
      <c r="A426" s="0" t="s">
        <v>985</v>
      </c>
      <c r="B426" s="0" t="s">
        <v>606</v>
      </c>
      <c r="C426" s="0" t="s">
        <v>73</v>
      </c>
      <c r="D426" s="0" t="s">
        <v>98</v>
      </c>
      <c r="E426" s="0" t="n">
        <v>13</v>
      </c>
      <c r="F426" s="30" t="n">
        <v>0</v>
      </c>
      <c r="G426" s="31" t="n">
        <v>45514</v>
      </c>
      <c r="H426" s="31" t="n">
        <v>45564</v>
      </c>
      <c r="I426" s="0" t="n">
        <v>50</v>
      </c>
      <c r="J426" s="32" t="s">
        <v>33</v>
      </c>
      <c r="K426" s="32" t="s">
        <v>64</v>
      </c>
      <c r="L426" s="32" t="s">
        <v>986</v>
      </c>
      <c r="M426" s="30" t="n">
        <v>570</v>
      </c>
    </row>
    <row r="427" customFormat="false" ht="15" hidden="false" customHeight="false" outlineLevel="0" collapsed="false">
      <c r="A427" s="0" t="s">
        <v>987</v>
      </c>
      <c r="B427" s="0" t="s">
        <v>362</v>
      </c>
      <c r="C427" s="0" t="s">
        <v>71</v>
      </c>
      <c r="D427" s="0" t="s">
        <v>93</v>
      </c>
      <c r="E427" s="0" t="n">
        <v>19</v>
      </c>
      <c r="F427" s="30" t="n">
        <v>361</v>
      </c>
      <c r="G427" s="31" t="n">
        <v>45408</v>
      </c>
      <c r="H427" s="31" t="n">
        <v>45511</v>
      </c>
      <c r="I427" s="0" t="n">
        <v>103</v>
      </c>
      <c r="J427" s="32" t="s">
        <v>33</v>
      </c>
      <c r="K427" s="32" t="s">
        <v>43</v>
      </c>
      <c r="M427" s="30" t="n">
        <v>0</v>
      </c>
    </row>
    <row r="428" customFormat="false" ht="15" hidden="false" customHeight="false" outlineLevel="0" collapsed="false">
      <c r="A428" s="0" t="s">
        <v>988</v>
      </c>
      <c r="B428" s="0" t="s">
        <v>989</v>
      </c>
      <c r="C428" s="0" t="s">
        <v>72</v>
      </c>
      <c r="D428" s="0" t="s">
        <v>93</v>
      </c>
      <c r="E428" s="0" t="n">
        <v>45</v>
      </c>
      <c r="F428" s="30" t="n">
        <v>2205</v>
      </c>
      <c r="G428" s="31" t="n">
        <v>45640</v>
      </c>
      <c r="H428" s="31" t="n">
        <v>45643</v>
      </c>
      <c r="I428" s="0" t="n">
        <v>3</v>
      </c>
      <c r="J428" s="32" t="s">
        <v>34</v>
      </c>
      <c r="K428" s="32" t="s">
        <v>42</v>
      </c>
      <c r="M428" s="30" t="n">
        <v>0</v>
      </c>
    </row>
    <row r="429" customFormat="false" ht="15" hidden="false" customHeight="false" outlineLevel="0" collapsed="false">
      <c r="A429" s="0" t="s">
        <v>990</v>
      </c>
      <c r="B429" s="0" t="s">
        <v>991</v>
      </c>
      <c r="C429" s="0" t="s">
        <v>73</v>
      </c>
      <c r="D429" s="0" t="s">
        <v>93</v>
      </c>
      <c r="E429" s="0" t="n">
        <v>43</v>
      </c>
      <c r="F429" s="30" t="n">
        <v>8557</v>
      </c>
      <c r="G429" s="31" t="n">
        <v>45604</v>
      </c>
      <c r="H429" s="31" t="n">
        <v>45606</v>
      </c>
      <c r="I429" s="0" t="n">
        <v>2</v>
      </c>
      <c r="J429" s="32" t="s">
        <v>34</v>
      </c>
      <c r="K429" s="32" t="s">
        <v>42</v>
      </c>
      <c r="M429" s="30" t="n">
        <v>0</v>
      </c>
    </row>
    <row r="430" customFormat="false" ht="15" hidden="false" customHeight="false" outlineLevel="0" collapsed="false">
      <c r="A430" s="0" t="s">
        <v>992</v>
      </c>
      <c r="B430" s="0" t="s">
        <v>993</v>
      </c>
      <c r="C430" s="0" t="s">
        <v>73</v>
      </c>
      <c r="D430" s="0" t="s">
        <v>93</v>
      </c>
      <c r="E430" s="0" t="n">
        <v>11</v>
      </c>
      <c r="F430" s="30" t="n">
        <v>2189</v>
      </c>
      <c r="G430" s="31" t="n">
        <v>45450</v>
      </c>
      <c r="H430" s="31" t="n">
        <v>45472</v>
      </c>
      <c r="I430" s="0" t="n">
        <v>22</v>
      </c>
      <c r="J430" s="32" t="s">
        <v>32</v>
      </c>
      <c r="K430" s="32" t="s">
        <v>42</v>
      </c>
      <c r="M430" s="30" t="n">
        <v>0</v>
      </c>
    </row>
    <row r="431" customFormat="false" ht="15" hidden="false" customHeight="false" outlineLevel="0" collapsed="false">
      <c r="A431" s="0" t="s">
        <v>994</v>
      </c>
      <c r="B431" s="0" t="s">
        <v>906</v>
      </c>
      <c r="C431" s="0" t="s">
        <v>72</v>
      </c>
      <c r="D431" s="0" t="s">
        <v>93</v>
      </c>
      <c r="E431" s="0" t="n">
        <v>26</v>
      </c>
      <c r="F431" s="30" t="n">
        <v>1274</v>
      </c>
      <c r="G431" s="31" t="n">
        <v>45632</v>
      </c>
      <c r="H431" s="31" t="n">
        <v>45652</v>
      </c>
      <c r="I431" s="0" t="n">
        <v>20</v>
      </c>
      <c r="J431" s="32" t="s">
        <v>34</v>
      </c>
      <c r="K431" s="32" t="s">
        <v>64</v>
      </c>
      <c r="L431" s="32" t="s">
        <v>995</v>
      </c>
      <c r="M431" s="30" t="n">
        <v>1372</v>
      </c>
    </row>
    <row r="432" customFormat="false" ht="15" hidden="false" customHeight="false" outlineLevel="0" collapsed="false">
      <c r="A432" s="0" t="s">
        <v>996</v>
      </c>
      <c r="B432" s="0" t="s">
        <v>997</v>
      </c>
      <c r="C432" s="0" t="s">
        <v>73</v>
      </c>
      <c r="D432" s="0" t="s">
        <v>93</v>
      </c>
      <c r="E432" s="0" t="n">
        <v>54</v>
      </c>
      <c r="F432" s="30" t="n">
        <v>10746</v>
      </c>
      <c r="G432" s="31" t="n">
        <v>45611</v>
      </c>
      <c r="H432" s="31" t="n">
        <v>45629</v>
      </c>
      <c r="I432" s="0" t="n">
        <v>18</v>
      </c>
      <c r="J432" s="32" t="s">
        <v>34</v>
      </c>
      <c r="K432" s="32" t="s">
        <v>42</v>
      </c>
      <c r="M432" s="30" t="n">
        <v>0</v>
      </c>
    </row>
    <row r="433" customFormat="false" ht="15" hidden="false" customHeight="false" outlineLevel="0" collapsed="false">
      <c r="A433" s="0" t="s">
        <v>998</v>
      </c>
      <c r="B433" s="0" t="s">
        <v>458</v>
      </c>
      <c r="C433" s="0" t="s">
        <v>72</v>
      </c>
      <c r="D433" s="0" t="s">
        <v>98</v>
      </c>
      <c r="E433" s="0" t="n">
        <v>18</v>
      </c>
      <c r="F433" s="30" t="n">
        <v>0</v>
      </c>
      <c r="G433" s="31" t="n">
        <v>45624</v>
      </c>
      <c r="H433" s="31" t="n">
        <v>45636</v>
      </c>
      <c r="I433" s="0" t="n">
        <v>12</v>
      </c>
      <c r="J433" s="32" t="s">
        <v>34</v>
      </c>
      <c r="K433" s="32" t="s">
        <v>64</v>
      </c>
      <c r="L433" s="32" t="s">
        <v>999</v>
      </c>
      <c r="M433" s="30" t="n">
        <v>342</v>
      </c>
    </row>
    <row r="434" customFormat="false" ht="15" hidden="false" customHeight="false" outlineLevel="0" collapsed="false">
      <c r="A434" s="0" t="s">
        <v>1000</v>
      </c>
      <c r="B434" s="0" t="s">
        <v>1001</v>
      </c>
      <c r="C434" s="0" t="s">
        <v>72</v>
      </c>
      <c r="D434" s="0" t="s">
        <v>93</v>
      </c>
      <c r="E434" s="0" t="n">
        <v>35</v>
      </c>
      <c r="F434" s="30" t="n">
        <v>1715</v>
      </c>
      <c r="G434" s="31" t="n">
        <v>45383</v>
      </c>
      <c r="H434" s="31" t="n">
        <v>45384</v>
      </c>
      <c r="I434" s="0" t="n">
        <v>1</v>
      </c>
      <c r="J434" s="32" t="s">
        <v>32</v>
      </c>
      <c r="K434" s="32" t="s">
        <v>44</v>
      </c>
      <c r="M434" s="30" t="n">
        <v>0</v>
      </c>
    </row>
    <row r="435" customFormat="false" ht="15" hidden="false" customHeight="false" outlineLevel="0" collapsed="false">
      <c r="A435" s="0" t="s">
        <v>1002</v>
      </c>
      <c r="B435" s="0" t="s">
        <v>1003</v>
      </c>
      <c r="C435" s="0" t="s">
        <v>71</v>
      </c>
      <c r="D435" s="0" t="s">
        <v>93</v>
      </c>
      <c r="E435" s="0" t="n">
        <v>5</v>
      </c>
      <c r="F435" s="30" t="n">
        <v>95</v>
      </c>
      <c r="G435" s="31" t="n">
        <v>45378</v>
      </c>
      <c r="H435" s="31" t="n">
        <v>45573</v>
      </c>
      <c r="I435" s="0" t="n">
        <v>195</v>
      </c>
      <c r="J435" s="32" t="s">
        <v>34</v>
      </c>
      <c r="K435" s="32" t="s">
        <v>43</v>
      </c>
      <c r="M435" s="30" t="n">
        <v>0</v>
      </c>
    </row>
    <row r="436" customFormat="false" ht="15" hidden="false" customHeight="false" outlineLevel="0" collapsed="false">
      <c r="A436" s="0" t="s">
        <v>1004</v>
      </c>
      <c r="B436" s="0" t="s">
        <v>124</v>
      </c>
      <c r="C436" s="0" t="s">
        <v>73</v>
      </c>
      <c r="D436" s="0" t="s">
        <v>93</v>
      </c>
      <c r="E436" s="0" t="n">
        <v>41</v>
      </c>
      <c r="F436" s="30" t="n">
        <v>8159</v>
      </c>
      <c r="G436" s="31" t="n">
        <v>45376</v>
      </c>
      <c r="H436" s="31" t="n">
        <v>45413</v>
      </c>
      <c r="I436" s="0" t="n">
        <v>37</v>
      </c>
      <c r="J436" s="32" t="s">
        <v>32</v>
      </c>
      <c r="K436" s="32" t="s">
        <v>43</v>
      </c>
      <c r="M436" s="30" t="n">
        <v>0</v>
      </c>
    </row>
    <row r="437" customFormat="false" ht="15" hidden="false" customHeight="false" outlineLevel="0" collapsed="false">
      <c r="A437" s="0" t="s">
        <v>1005</v>
      </c>
      <c r="B437" s="0" t="s">
        <v>507</v>
      </c>
      <c r="C437" s="0" t="s">
        <v>73</v>
      </c>
      <c r="D437" s="0" t="s">
        <v>93</v>
      </c>
      <c r="E437" s="0" t="n">
        <v>24</v>
      </c>
      <c r="F437" s="30" t="n">
        <v>4776</v>
      </c>
      <c r="G437" s="31" t="n">
        <v>45634</v>
      </c>
      <c r="H437" s="31" t="n">
        <v>45640</v>
      </c>
      <c r="I437" s="0" t="n">
        <v>6</v>
      </c>
      <c r="J437" s="32" t="s">
        <v>34</v>
      </c>
      <c r="K437" s="32" t="s">
        <v>42</v>
      </c>
      <c r="M437" s="30" t="n">
        <v>0</v>
      </c>
    </row>
    <row r="438" customFormat="false" ht="15" hidden="false" customHeight="false" outlineLevel="0" collapsed="false">
      <c r="A438" s="0" t="s">
        <v>1006</v>
      </c>
      <c r="B438" s="0" t="s">
        <v>631</v>
      </c>
      <c r="C438" s="0" t="s">
        <v>72</v>
      </c>
      <c r="D438" s="0" t="s">
        <v>93</v>
      </c>
      <c r="E438" s="0" t="n">
        <v>20</v>
      </c>
      <c r="F438" s="30" t="n">
        <v>980</v>
      </c>
      <c r="G438" s="31" t="n">
        <v>45535</v>
      </c>
      <c r="H438" s="31" t="n">
        <v>45591</v>
      </c>
      <c r="I438" s="0" t="n">
        <v>56</v>
      </c>
      <c r="J438" s="32" t="s">
        <v>34</v>
      </c>
      <c r="K438" s="32" t="s">
        <v>64</v>
      </c>
      <c r="L438" s="32" t="s">
        <v>632</v>
      </c>
      <c r="M438" s="30" t="n">
        <v>0</v>
      </c>
    </row>
    <row r="439" customFormat="false" ht="15" hidden="false" customHeight="false" outlineLevel="0" collapsed="false">
      <c r="A439" s="0" t="s">
        <v>1007</v>
      </c>
      <c r="B439" s="0" t="s">
        <v>1008</v>
      </c>
      <c r="C439" s="0" t="s">
        <v>72</v>
      </c>
      <c r="D439" s="0" t="s">
        <v>93</v>
      </c>
      <c r="E439" s="0" t="n">
        <v>33</v>
      </c>
      <c r="F439" s="30" t="n">
        <v>1617</v>
      </c>
      <c r="G439" s="31" t="n">
        <v>45655</v>
      </c>
      <c r="H439" s="31" t="n">
        <v>45656</v>
      </c>
      <c r="I439" s="0" t="n">
        <v>1</v>
      </c>
      <c r="J439" s="32" t="s">
        <v>34</v>
      </c>
      <c r="K439" s="32" t="s">
        <v>64</v>
      </c>
      <c r="L439" s="32" t="s">
        <v>1009</v>
      </c>
      <c r="M439" s="30" t="n">
        <v>285</v>
      </c>
    </row>
    <row r="440" customFormat="false" ht="15" hidden="false" customHeight="false" outlineLevel="0" collapsed="false">
      <c r="A440" s="0" t="s">
        <v>1010</v>
      </c>
      <c r="B440" s="0" t="s">
        <v>1011</v>
      </c>
      <c r="C440" s="0" t="s">
        <v>71</v>
      </c>
      <c r="D440" s="0" t="s">
        <v>93</v>
      </c>
      <c r="E440" s="0" t="n">
        <v>67</v>
      </c>
      <c r="F440" s="30" t="n">
        <v>1273</v>
      </c>
      <c r="G440" s="31" t="n">
        <v>45507</v>
      </c>
      <c r="H440" s="31" t="n">
        <v>45625</v>
      </c>
      <c r="I440" s="0" t="n">
        <v>118</v>
      </c>
      <c r="J440" s="32" t="s">
        <v>34</v>
      </c>
      <c r="K440" s="32" t="s">
        <v>43</v>
      </c>
      <c r="M440" s="30" t="n">
        <v>0</v>
      </c>
    </row>
    <row r="441" customFormat="false" ht="15" hidden="false" customHeight="false" outlineLevel="0" collapsed="false">
      <c r="A441" s="0" t="s">
        <v>1012</v>
      </c>
      <c r="B441" s="0" t="s">
        <v>1013</v>
      </c>
      <c r="C441" s="0" t="s">
        <v>72</v>
      </c>
      <c r="D441" s="0" t="s">
        <v>93</v>
      </c>
      <c r="E441" s="0" t="n">
        <v>18</v>
      </c>
      <c r="F441" s="30" t="n">
        <v>882</v>
      </c>
      <c r="G441" s="31" t="n">
        <v>45538</v>
      </c>
      <c r="H441" s="31" t="n">
        <v>45568</v>
      </c>
      <c r="I441" s="0" t="n">
        <v>30</v>
      </c>
      <c r="J441" s="32" t="s">
        <v>34</v>
      </c>
      <c r="K441" s="32" t="s">
        <v>64</v>
      </c>
      <c r="L441" s="32" t="s">
        <v>1014</v>
      </c>
      <c r="M441" s="30" t="n">
        <v>995</v>
      </c>
    </row>
    <row r="442" customFormat="false" ht="15" hidden="false" customHeight="false" outlineLevel="0" collapsed="false">
      <c r="A442" s="0" t="s">
        <v>1015</v>
      </c>
      <c r="B442" s="0" t="s">
        <v>1016</v>
      </c>
      <c r="C442" s="0" t="s">
        <v>73</v>
      </c>
      <c r="D442" s="0" t="s">
        <v>93</v>
      </c>
      <c r="E442" s="0" t="n">
        <v>28</v>
      </c>
      <c r="F442" s="30" t="n">
        <v>5572</v>
      </c>
      <c r="G442" s="31" t="n">
        <v>45440</v>
      </c>
      <c r="H442" s="31" t="n">
        <v>45579</v>
      </c>
      <c r="I442" s="0" t="n">
        <v>139</v>
      </c>
      <c r="J442" s="32" t="s">
        <v>34</v>
      </c>
      <c r="K442" s="32" t="s">
        <v>64</v>
      </c>
      <c r="L442" s="32" t="s">
        <v>1017</v>
      </c>
      <c r="M442" s="30" t="n">
        <v>1194</v>
      </c>
    </row>
    <row r="443" customFormat="false" ht="15" hidden="false" customHeight="false" outlineLevel="0" collapsed="false">
      <c r="A443" s="0" t="s">
        <v>1018</v>
      </c>
      <c r="B443" s="0" t="s">
        <v>206</v>
      </c>
      <c r="C443" s="0" t="s">
        <v>73</v>
      </c>
      <c r="D443" s="0" t="s">
        <v>93</v>
      </c>
      <c r="E443" s="0" t="n">
        <v>49</v>
      </c>
      <c r="F443" s="30" t="n">
        <v>9751</v>
      </c>
      <c r="G443" s="31" t="n">
        <v>45531</v>
      </c>
      <c r="H443" s="31" t="n">
        <v>45599</v>
      </c>
      <c r="I443" s="0" t="n">
        <v>68</v>
      </c>
      <c r="J443" s="32" t="s">
        <v>34</v>
      </c>
      <c r="K443" s="32" t="s">
        <v>43</v>
      </c>
      <c r="M443" s="30" t="n">
        <v>0</v>
      </c>
    </row>
    <row r="444" customFormat="false" ht="15" hidden="false" customHeight="false" outlineLevel="0" collapsed="false">
      <c r="A444" s="0" t="s">
        <v>1019</v>
      </c>
      <c r="B444" s="0" t="s">
        <v>435</v>
      </c>
      <c r="C444" s="0" t="s">
        <v>73</v>
      </c>
      <c r="D444" s="0" t="s">
        <v>93</v>
      </c>
      <c r="E444" s="0" t="n">
        <v>14</v>
      </c>
      <c r="F444" s="30" t="n">
        <v>2786</v>
      </c>
      <c r="G444" s="31" t="n">
        <v>45596</v>
      </c>
      <c r="H444" s="31" t="n">
        <v>45644</v>
      </c>
      <c r="I444" s="0" t="n">
        <v>48</v>
      </c>
      <c r="J444" s="32" t="s">
        <v>34</v>
      </c>
      <c r="K444" s="32" t="s">
        <v>64</v>
      </c>
      <c r="L444" s="32" t="s">
        <v>872</v>
      </c>
      <c r="M444" s="30" t="n">
        <v>1568</v>
      </c>
    </row>
    <row r="445" customFormat="false" ht="15" hidden="false" customHeight="false" outlineLevel="0" collapsed="false">
      <c r="A445" s="0" t="s">
        <v>1020</v>
      </c>
      <c r="B445" s="0" t="s">
        <v>1021</v>
      </c>
      <c r="C445" s="0" t="s">
        <v>71</v>
      </c>
      <c r="D445" s="0" t="s">
        <v>93</v>
      </c>
      <c r="E445" s="0" t="n">
        <v>32</v>
      </c>
      <c r="F445" s="30" t="n">
        <v>608</v>
      </c>
      <c r="G445" s="31" t="n">
        <v>45596</v>
      </c>
      <c r="H445" s="31" t="n">
        <v>45625</v>
      </c>
      <c r="I445" s="0" t="n">
        <v>29</v>
      </c>
      <c r="J445" s="32" t="s">
        <v>34</v>
      </c>
      <c r="K445" s="32" t="s">
        <v>42</v>
      </c>
      <c r="M445" s="30" t="n">
        <v>0</v>
      </c>
    </row>
    <row r="446" customFormat="false" ht="15" hidden="false" customHeight="false" outlineLevel="0" collapsed="false">
      <c r="A446" s="0" t="s">
        <v>1022</v>
      </c>
      <c r="B446" s="0" t="s">
        <v>466</v>
      </c>
      <c r="C446" s="0" t="s">
        <v>73</v>
      </c>
      <c r="D446" s="0" t="s">
        <v>93</v>
      </c>
      <c r="E446" s="0" t="n">
        <v>9</v>
      </c>
      <c r="F446" s="30" t="n">
        <v>1791</v>
      </c>
      <c r="G446" s="31" t="n">
        <v>45523</v>
      </c>
      <c r="H446" s="31" t="n">
        <v>45560</v>
      </c>
      <c r="I446" s="0" t="n">
        <v>37</v>
      </c>
      <c r="J446" s="32" t="s">
        <v>33</v>
      </c>
      <c r="K446" s="32" t="s">
        <v>64</v>
      </c>
      <c r="L446" s="32" t="s">
        <v>1023</v>
      </c>
      <c r="M446" s="30" t="n">
        <v>441</v>
      </c>
    </row>
    <row r="447" customFormat="false" ht="15" hidden="false" customHeight="false" outlineLevel="0" collapsed="false">
      <c r="A447" s="0" t="s">
        <v>1024</v>
      </c>
      <c r="B447" s="0" t="s">
        <v>1025</v>
      </c>
      <c r="C447" s="0" t="s">
        <v>72</v>
      </c>
      <c r="D447" s="0" t="s">
        <v>93</v>
      </c>
      <c r="E447" s="0" t="n">
        <v>23</v>
      </c>
      <c r="F447" s="30" t="n">
        <v>1127</v>
      </c>
      <c r="G447" s="31" t="n">
        <v>45580</v>
      </c>
      <c r="H447" s="31" t="n">
        <v>45656</v>
      </c>
      <c r="I447" s="0" t="n">
        <v>76</v>
      </c>
      <c r="J447" s="32" t="s">
        <v>34</v>
      </c>
      <c r="K447" s="32" t="s">
        <v>43</v>
      </c>
      <c r="M447" s="30" t="n">
        <v>0</v>
      </c>
    </row>
    <row r="448" customFormat="false" ht="15" hidden="false" customHeight="false" outlineLevel="0" collapsed="false">
      <c r="A448" s="0" t="s">
        <v>1026</v>
      </c>
      <c r="B448" s="0" t="s">
        <v>975</v>
      </c>
      <c r="C448" s="0" t="s">
        <v>71</v>
      </c>
      <c r="D448" s="0" t="s">
        <v>93</v>
      </c>
      <c r="E448" s="0" t="n">
        <v>32</v>
      </c>
      <c r="F448" s="30" t="n">
        <v>608</v>
      </c>
      <c r="G448" s="31" t="n">
        <v>45647</v>
      </c>
      <c r="H448" s="31" t="n">
        <v>45657</v>
      </c>
      <c r="I448" s="0" t="n">
        <v>10</v>
      </c>
      <c r="J448" s="32" t="s">
        <v>34</v>
      </c>
      <c r="K448" s="32" t="s">
        <v>64</v>
      </c>
      <c r="L448" s="32" t="s">
        <v>976</v>
      </c>
      <c r="M448" s="30" t="n">
        <v>0</v>
      </c>
    </row>
    <row r="449" customFormat="false" ht="15" hidden="false" customHeight="false" outlineLevel="0" collapsed="false">
      <c r="A449" s="0" t="s">
        <v>1027</v>
      </c>
      <c r="B449" s="0" t="s">
        <v>446</v>
      </c>
      <c r="C449" s="0" t="s">
        <v>72</v>
      </c>
      <c r="D449" s="0" t="s">
        <v>93</v>
      </c>
      <c r="E449" s="0" t="n">
        <v>61</v>
      </c>
      <c r="F449" s="30" t="n">
        <v>2989</v>
      </c>
      <c r="G449" s="31" t="n">
        <v>45621</v>
      </c>
      <c r="H449" s="31" t="n">
        <v>45638</v>
      </c>
      <c r="I449" s="0" t="n">
        <v>17</v>
      </c>
      <c r="J449" s="32" t="s">
        <v>34</v>
      </c>
      <c r="K449" s="32" t="s">
        <v>64</v>
      </c>
      <c r="L449" s="32" t="s">
        <v>1028</v>
      </c>
      <c r="M449" s="30" t="n">
        <v>1470</v>
      </c>
    </row>
    <row r="450" customFormat="false" ht="15" hidden="false" customHeight="false" outlineLevel="0" collapsed="false">
      <c r="A450" s="0" t="s">
        <v>1029</v>
      </c>
      <c r="B450" s="0" t="s">
        <v>1030</v>
      </c>
      <c r="C450" s="0" t="s">
        <v>73</v>
      </c>
      <c r="D450" s="0" t="s">
        <v>93</v>
      </c>
      <c r="E450" s="0" t="n">
        <v>42</v>
      </c>
      <c r="F450" s="30" t="n">
        <v>8358</v>
      </c>
      <c r="G450" s="31" t="n">
        <v>45587</v>
      </c>
      <c r="H450" s="31" t="n">
        <v>45606</v>
      </c>
      <c r="I450" s="0" t="n">
        <v>19</v>
      </c>
      <c r="J450" s="32" t="s">
        <v>34</v>
      </c>
      <c r="K450" s="32" t="s">
        <v>42</v>
      </c>
      <c r="M450" s="30" t="n">
        <v>0</v>
      </c>
    </row>
    <row r="451" customFormat="false" ht="15" hidden="false" customHeight="false" outlineLevel="0" collapsed="false">
      <c r="A451" s="0" t="s">
        <v>1031</v>
      </c>
      <c r="B451" s="0" t="s">
        <v>119</v>
      </c>
      <c r="C451" s="0" t="s">
        <v>72</v>
      </c>
      <c r="D451" s="0" t="s">
        <v>93</v>
      </c>
      <c r="E451" s="0" t="n">
        <v>41</v>
      </c>
      <c r="F451" s="30" t="n">
        <v>2009</v>
      </c>
      <c r="G451" s="31" t="n">
        <v>45581</v>
      </c>
      <c r="H451" s="31" t="n">
        <v>45604</v>
      </c>
      <c r="I451" s="0" t="n">
        <v>23</v>
      </c>
      <c r="J451" s="32" t="s">
        <v>34</v>
      </c>
      <c r="K451" s="32" t="s">
        <v>42</v>
      </c>
      <c r="M451" s="30" t="n">
        <v>0</v>
      </c>
    </row>
    <row r="452" customFormat="false" ht="15" hidden="false" customHeight="false" outlineLevel="0" collapsed="false">
      <c r="A452" s="0" t="s">
        <v>1032</v>
      </c>
      <c r="B452" s="0" t="s">
        <v>1033</v>
      </c>
      <c r="C452" s="0" t="s">
        <v>72</v>
      </c>
      <c r="D452" s="0" t="s">
        <v>93</v>
      </c>
      <c r="E452" s="0" t="n">
        <v>58</v>
      </c>
      <c r="F452" s="30" t="n">
        <v>2842</v>
      </c>
      <c r="G452" s="31" t="n">
        <v>45649</v>
      </c>
      <c r="H452" s="31" t="n">
        <v>45654</v>
      </c>
      <c r="I452" s="0" t="n">
        <v>5</v>
      </c>
      <c r="J452" s="32" t="s">
        <v>34</v>
      </c>
      <c r="K452" s="32" t="s">
        <v>42</v>
      </c>
      <c r="M452" s="30" t="n">
        <v>0</v>
      </c>
    </row>
    <row r="453" customFormat="false" ht="15" hidden="false" customHeight="false" outlineLevel="0" collapsed="false">
      <c r="A453" s="0" t="s">
        <v>1034</v>
      </c>
      <c r="B453" s="0" t="s">
        <v>206</v>
      </c>
      <c r="C453" s="0" t="s">
        <v>73</v>
      </c>
      <c r="D453" s="0" t="s">
        <v>93</v>
      </c>
      <c r="E453" s="0" t="n">
        <v>18</v>
      </c>
      <c r="F453" s="30" t="n">
        <v>3582</v>
      </c>
      <c r="G453" s="31" t="n">
        <v>45625</v>
      </c>
      <c r="H453" s="31" t="n">
        <v>45629</v>
      </c>
      <c r="I453" s="0" t="n">
        <v>4</v>
      </c>
      <c r="J453" s="32" t="s">
        <v>34</v>
      </c>
      <c r="K453" s="32" t="s">
        <v>42</v>
      </c>
      <c r="M453" s="30" t="n">
        <v>0</v>
      </c>
    </row>
    <row r="454" customFormat="false" ht="15" hidden="false" customHeight="false" outlineLevel="0" collapsed="false">
      <c r="A454" s="0" t="s">
        <v>1035</v>
      </c>
      <c r="B454" s="0" t="s">
        <v>368</v>
      </c>
      <c r="C454" s="0" t="s">
        <v>73</v>
      </c>
      <c r="D454" s="0" t="s">
        <v>93</v>
      </c>
      <c r="E454" s="0" t="n">
        <v>4</v>
      </c>
      <c r="F454" s="30" t="n">
        <v>796</v>
      </c>
      <c r="G454" s="31" t="n">
        <v>45536</v>
      </c>
      <c r="H454" s="31" t="n">
        <v>45657</v>
      </c>
      <c r="I454" s="0" t="n">
        <v>121</v>
      </c>
      <c r="J454" s="32" t="s">
        <v>34</v>
      </c>
      <c r="K454" s="32" t="s">
        <v>43</v>
      </c>
      <c r="M454" s="30" t="n">
        <v>0</v>
      </c>
    </row>
    <row r="455" customFormat="false" ht="15" hidden="false" customHeight="false" outlineLevel="0" collapsed="false">
      <c r="A455" s="0" t="s">
        <v>1036</v>
      </c>
      <c r="B455" s="0" t="s">
        <v>1037</v>
      </c>
      <c r="C455" s="0" t="s">
        <v>73</v>
      </c>
      <c r="D455" s="0" t="s">
        <v>93</v>
      </c>
      <c r="E455" s="0" t="n">
        <v>24</v>
      </c>
      <c r="F455" s="30" t="n">
        <v>4776</v>
      </c>
      <c r="G455" s="31" t="n">
        <v>45619</v>
      </c>
      <c r="H455" s="31" t="n">
        <v>45647</v>
      </c>
      <c r="I455" s="0" t="n">
        <v>28</v>
      </c>
      <c r="J455" s="32" t="s">
        <v>34</v>
      </c>
      <c r="K455" s="32" t="s">
        <v>42</v>
      </c>
      <c r="M455" s="30" t="n">
        <v>0</v>
      </c>
    </row>
    <row r="456" customFormat="false" ht="15" hidden="false" customHeight="false" outlineLevel="0" collapsed="false">
      <c r="A456" s="0" t="s">
        <v>1038</v>
      </c>
      <c r="B456" s="0" t="s">
        <v>939</v>
      </c>
      <c r="C456" s="0" t="s">
        <v>73</v>
      </c>
      <c r="D456" s="0" t="s">
        <v>98</v>
      </c>
      <c r="E456" s="0" t="n">
        <v>3</v>
      </c>
      <c r="F456" s="30" t="n">
        <v>0</v>
      </c>
      <c r="G456" s="31" t="n">
        <v>45252</v>
      </c>
      <c r="H456" s="31" t="n">
        <v>45345</v>
      </c>
      <c r="I456" s="0" t="n">
        <v>93</v>
      </c>
      <c r="J456" s="32" t="s">
        <v>31</v>
      </c>
      <c r="K456" s="32" t="s">
        <v>43</v>
      </c>
      <c r="M456" s="30" t="n">
        <v>0</v>
      </c>
    </row>
    <row r="457" customFormat="false" ht="15" hidden="false" customHeight="false" outlineLevel="0" collapsed="false">
      <c r="A457" s="0" t="s">
        <v>1039</v>
      </c>
      <c r="B457" s="0" t="s">
        <v>1040</v>
      </c>
      <c r="C457" s="0" t="s">
        <v>72</v>
      </c>
      <c r="D457" s="0" t="s">
        <v>93</v>
      </c>
      <c r="E457" s="0" t="n">
        <v>123</v>
      </c>
      <c r="F457" s="30" t="n">
        <v>6027</v>
      </c>
      <c r="G457" s="31" t="n">
        <v>45537</v>
      </c>
      <c r="H457" s="31" t="n">
        <v>45624</v>
      </c>
      <c r="I457" s="0" t="n">
        <v>87</v>
      </c>
      <c r="J457" s="32" t="s">
        <v>34</v>
      </c>
      <c r="K457" s="32" t="s">
        <v>43</v>
      </c>
      <c r="M457" s="30" t="n">
        <v>0</v>
      </c>
    </row>
    <row r="458" customFormat="false" ht="15" hidden="false" customHeight="false" outlineLevel="0" collapsed="false">
      <c r="A458" s="0" t="s">
        <v>1041</v>
      </c>
      <c r="B458" s="0" t="s">
        <v>186</v>
      </c>
      <c r="C458" s="0" t="s">
        <v>71</v>
      </c>
      <c r="D458" s="0" t="s">
        <v>93</v>
      </c>
      <c r="E458" s="0" t="n">
        <v>73</v>
      </c>
      <c r="F458" s="30" t="n">
        <v>1387</v>
      </c>
      <c r="G458" s="31" t="n">
        <v>45624</v>
      </c>
      <c r="H458" s="31" t="n">
        <v>45637</v>
      </c>
      <c r="I458" s="0" t="n">
        <v>13</v>
      </c>
      <c r="J458" s="32" t="s">
        <v>34</v>
      </c>
      <c r="K458" s="32" t="s">
        <v>64</v>
      </c>
      <c r="L458" s="32" t="s">
        <v>1042</v>
      </c>
      <c r="M458" s="30" t="n">
        <v>1519</v>
      </c>
    </row>
    <row r="459" customFormat="false" ht="15" hidden="false" customHeight="false" outlineLevel="0" collapsed="false">
      <c r="A459" s="0" t="s">
        <v>1043</v>
      </c>
      <c r="B459" s="0" t="s">
        <v>1044</v>
      </c>
      <c r="C459" s="0" t="s">
        <v>71</v>
      </c>
      <c r="D459" s="0" t="s">
        <v>93</v>
      </c>
      <c r="E459" s="0" t="n">
        <v>54</v>
      </c>
      <c r="F459" s="30" t="n">
        <v>1026</v>
      </c>
      <c r="G459" s="31" t="n">
        <v>45110</v>
      </c>
      <c r="H459" s="31" t="n">
        <v>45316</v>
      </c>
      <c r="I459" s="0" t="n">
        <v>206</v>
      </c>
      <c r="J459" s="32" t="s">
        <v>31</v>
      </c>
      <c r="K459" s="32" t="s">
        <v>43</v>
      </c>
      <c r="M459" s="30" t="n">
        <v>0</v>
      </c>
    </row>
    <row r="460" customFormat="false" ht="15" hidden="false" customHeight="false" outlineLevel="0" collapsed="false">
      <c r="A460" s="0" t="s">
        <v>1045</v>
      </c>
      <c r="B460" s="0" t="s">
        <v>790</v>
      </c>
      <c r="C460" s="0" t="s">
        <v>71</v>
      </c>
      <c r="D460" s="0" t="s">
        <v>93</v>
      </c>
      <c r="E460" s="0" t="n">
        <v>9</v>
      </c>
      <c r="F460" s="30" t="n">
        <v>171</v>
      </c>
      <c r="G460" s="31" t="n">
        <v>45405</v>
      </c>
      <c r="H460" s="31" t="n">
        <v>45506</v>
      </c>
      <c r="I460" s="0" t="n">
        <v>101</v>
      </c>
      <c r="J460" s="32" t="s">
        <v>33</v>
      </c>
      <c r="K460" s="32" t="s">
        <v>64</v>
      </c>
      <c r="L460" s="32" t="s">
        <v>1046</v>
      </c>
      <c r="M460" s="30" t="n">
        <v>95</v>
      </c>
    </row>
    <row r="461" customFormat="false" ht="15" hidden="false" customHeight="false" outlineLevel="0" collapsed="false">
      <c r="A461" s="0" t="s">
        <v>1047</v>
      </c>
      <c r="B461" s="0" t="s">
        <v>780</v>
      </c>
      <c r="C461" s="0" t="s">
        <v>71</v>
      </c>
      <c r="D461" s="0" t="s">
        <v>98</v>
      </c>
      <c r="E461" s="0" t="n">
        <v>9</v>
      </c>
      <c r="F461" s="30" t="n">
        <v>0</v>
      </c>
      <c r="G461" s="31" t="n">
        <v>45197</v>
      </c>
      <c r="H461" s="31" t="n">
        <v>45257</v>
      </c>
      <c r="I461" s="0" t="n">
        <v>60</v>
      </c>
      <c r="J461" s="32" t="s">
        <v>30</v>
      </c>
      <c r="K461" s="32" t="s">
        <v>64</v>
      </c>
      <c r="L461" s="32" t="s">
        <v>1048</v>
      </c>
      <c r="M461" s="30" t="n">
        <v>0</v>
      </c>
    </row>
    <row r="462" customFormat="false" ht="15" hidden="false" customHeight="false" outlineLevel="0" collapsed="false">
      <c r="A462" s="0" t="s">
        <v>1049</v>
      </c>
      <c r="B462" s="0" t="s">
        <v>1050</v>
      </c>
      <c r="C462" s="0" t="s">
        <v>72</v>
      </c>
      <c r="D462" s="0" t="s">
        <v>93</v>
      </c>
      <c r="E462" s="0" t="n">
        <v>41</v>
      </c>
      <c r="F462" s="30" t="n">
        <v>2009</v>
      </c>
      <c r="G462" s="31" t="n">
        <v>45081</v>
      </c>
      <c r="H462" s="31" t="n">
        <v>45220</v>
      </c>
      <c r="I462" s="0" t="n">
        <v>139</v>
      </c>
      <c r="J462" s="32" t="s">
        <v>30</v>
      </c>
      <c r="K462" s="32" t="s">
        <v>43</v>
      </c>
      <c r="M462" s="30" t="n">
        <v>0</v>
      </c>
    </row>
    <row r="463" customFormat="false" ht="15" hidden="false" customHeight="false" outlineLevel="0" collapsed="false">
      <c r="A463" s="0" t="s">
        <v>1051</v>
      </c>
      <c r="B463" s="0" t="s">
        <v>805</v>
      </c>
      <c r="C463" s="0" t="s">
        <v>73</v>
      </c>
      <c r="D463" s="0" t="s">
        <v>93</v>
      </c>
      <c r="E463" s="0" t="n">
        <v>9</v>
      </c>
      <c r="F463" s="30" t="n">
        <v>1791</v>
      </c>
      <c r="G463" s="31" t="n">
        <v>45562</v>
      </c>
      <c r="H463" s="31" t="n">
        <v>45563</v>
      </c>
      <c r="I463" s="0" t="n">
        <v>1</v>
      </c>
      <c r="J463" s="32" t="s">
        <v>33</v>
      </c>
      <c r="K463" s="32" t="s">
        <v>64</v>
      </c>
      <c r="L463" s="32" t="s">
        <v>1052</v>
      </c>
      <c r="M463" s="30" t="n">
        <v>0</v>
      </c>
    </row>
    <row r="464" customFormat="false" ht="15" hidden="false" customHeight="false" outlineLevel="0" collapsed="false">
      <c r="A464" s="0" t="s">
        <v>1053</v>
      </c>
      <c r="B464" s="0" t="s">
        <v>195</v>
      </c>
      <c r="C464" s="0" t="s">
        <v>71</v>
      </c>
      <c r="D464" s="0" t="s">
        <v>93</v>
      </c>
      <c r="E464" s="0" t="n">
        <v>9</v>
      </c>
      <c r="F464" s="30" t="n">
        <v>171</v>
      </c>
      <c r="G464" s="31" t="n">
        <v>45314</v>
      </c>
      <c r="H464" s="31" t="n">
        <v>45599</v>
      </c>
      <c r="I464" s="0" t="n">
        <v>285</v>
      </c>
      <c r="J464" s="32" t="s">
        <v>34</v>
      </c>
      <c r="K464" s="32" t="s">
        <v>43</v>
      </c>
      <c r="M464" s="30" t="n">
        <v>0</v>
      </c>
    </row>
    <row r="465" customFormat="false" ht="15" hidden="false" customHeight="false" outlineLevel="0" collapsed="false">
      <c r="A465" s="0" t="s">
        <v>1054</v>
      </c>
      <c r="B465" s="0" t="s">
        <v>1055</v>
      </c>
      <c r="C465" s="0" t="s">
        <v>71</v>
      </c>
      <c r="D465" s="0" t="s">
        <v>98</v>
      </c>
      <c r="E465" s="0" t="n">
        <v>3</v>
      </c>
      <c r="F465" s="30" t="n">
        <v>0</v>
      </c>
      <c r="G465" s="31" t="n">
        <v>45250</v>
      </c>
      <c r="H465" s="31" t="n">
        <v>45552</v>
      </c>
      <c r="I465" s="0" t="n">
        <v>302</v>
      </c>
      <c r="J465" s="32" t="s">
        <v>33</v>
      </c>
      <c r="K465" s="32" t="s">
        <v>43</v>
      </c>
      <c r="M465" s="30" t="n">
        <v>0</v>
      </c>
    </row>
    <row r="466" customFormat="false" ht="15" hidden="false" customHeight="false" outlineLevel="0" collapsed="false">
      <c r="A466" s="0" t="s">
        <v>1056</v>
      </c>
      <c r="B466" s="0" t="s">
        <v>1057</v>
      </c>
      <c r="C466" s="0" t="s">
        <v>71</v>
      </c>
      <c r="D466" s="0" t="s">
        <v>93</v>
      </c>
      <c r="E466" s="0" t="n">
        <v>19</v>
      </c>
      <c r="F466" s="30" t="n">
        <v>361</v>
      </c>
      <c r="G466" s="31" t="n">
        <v>45599</v>
      </c>
      <c r="H466" s="31" t="n">
        <v>45608</v>
      </c>
      <c r="I466" s="0" t="n">
        <v>9</v>
      </c>
      <c r="J466" s="32" t="s">
        <v>34</v>
      </c>
      <c r="K466" s="32" t="s">
        <v>64</v>
      </c>
      <c r="L466" s="32" t="s">
        <v>1058</v>
      </c>
      <c r="M466" s="30" t="n">
        <v>456</v>
      </c>
    </row>
    <row r="467" customFormat="false" ht="15" hidden="false" customHeight="false" outlineLevel="0" collapsed="false">
      <c r="A467" s="0" t="s">
        <v>1059</v>
      </c>
      <c r="B467" s="0" t="s">
        <v>1060</v>
      </c>
      <c r="C467" s="0" t="s">
        <v>72</v>
      </c>
      <c r="D467" s="0" t="s">
        <v>93</v>
      </c>
      <c r="E467" s="0" t="n">
        <v>16</v>
      </c>
      <c r="F467" s="30" t="n">
        <v>784</v>
      </c>
      <c r="G467" s="31" t="n">
        <v>45156</v>
      </c>
      <c r="H467" s="31" t="n">
        <v>45432</v>
      </c>
      <c r="I467" s="0" t="n">
        <v>276</v>
      </c>
      <c r="J467" s="32" t="s">
        <v>32</v>
      </c>
      <c r="K467" s="32" t="s">
        <v>43</v>
      </c>
      <c r="M467" s="30" t="n">
        <v>0</v>
      </c>
    </row>
    <row r="468" customFormat="false" ht="15" hidden="false" customHeight="false" outlineLevel="0" collapsed="false">
      <c r="A468" s="0" t="s">
        <v>1061</v>
      </c>
      <c r="B468" s="0" t="s">
        <v>1013</v>
      </c>
      <c r="C468" s="0" t="s">
        <v>72</v>
      </c>
      <c r="D468" s="0" t="s">
        <v>98</v>
      </c>
      <c r="E468" s="0" t="n">
        <v>70</v>
      </c>
      <c r="F468" s="30" t="n">
        <v>0</v>
      </c>
      <c r="G468" s="31" t="n">
        <v>45572</v>
      </c>
      <c r="H468" s="31" t="n">
        <v>45577</v>
      </c>
      <c r="I468" s="0" t="n">
        <v>5</v>
      </c>
      <c r="J468" s="32" t="s">
        <v>34</v>
      </c>
      <c r="K468" s="32" t="s">
        <v>42</v>
      </c>
      <c r="M468" s="30" t="n">
        <v>0</v>
      </c>
    </row>
    <row r="469" customFormat="false" ht="15" hidden="false" customHeight="false" outlineLevel="0" collapsed="false">
      <c r="A469" s="0" t="s">
        <v>1062</v>
      </c>
      <c r="B469" s="0" t="s">
        <v>192</v>
      </c>
      <c r="C469" s="0" t="s">
        <v>72</v>
      </c>
      <c r="D469" s="0" t="s">
        <v>93</v>
      </c>
      <c r="E469" s="0" t="n">
        <v>13</v>
      </c>
      <c r="F469" s="30" t="n">
        <v>637</v>
      </c>
      <c r="G469" s="31" t="n">
        <v>45537</v>
      </c>
      <c r="H469" s="31" t="n">
        <v>45550</v>
      </c>
      <c r="I469" s="0" t="n">
        <v>13</v>
      </c>
      <c r="J469" s="32" t="s">
        <v>33</v>
      </c>
      <c r="K469" s="32" t="s">
        <v>42</v>
      </c>
      <c r="M469" s="30" t="n">
        <v>0</v>
      </c>
    </row>
    <row r="470" customFormat="false" ht="15" hidden="false" customHeight="false" outlineLevel="0" collapsed="false">
      <c r="A470" s="0" t="s">
        <v>1063</v>
      </c>
      <c r="B470" s="0" t="s">
        <v>269</v>
      </c>
      <c r="C470" s="0" t="s">
        <v>73</v>
      </c>
      <c r="D470" s="0" t="s">
        <v>93</v>
      </c>
      <c r="E470" s="0" t="n">
        <v>40</v>
      </c>
      <c r="F470" s="30" t="n">
        <v>7960</v>
      </c>
      <c r="G470" s="31" t="n">
        <v>45254</v>
      </c>
      <c r="H470" s="31" t="n">
        <v>45470</v>
      </c>
      <c r="I470" s="0" t="n">
        <v>216</v>
      </c>
      <c r="J470" s="32" t="s">
        <v>32</v>
      </c>
      <c r="K470" s="32" t="s">
        <v>43</v>
      </c>
      <c r="M470" s="30" t="n">
        <v>0</v>
      </c>
    </row>
    <row r="471" customFormat="false" ht="15" hidden="false" customHeight="false" outlineLevel="0" collapsed="false">
      <c r="A471" s="0" t="s">
        <v>1064</v>
      </c>
      <c r="B471" s="0" t="s">
        <v>1065</v>
      </c>
      <c r="C471" s="0" t="s">
        <v>71</v>
      </c>
      <c r="D471" s="0" t="s">
        <v>93</v>
      </c>
      <c r="E471" s="0" t="n">
        <v>24</v>
      </c>
      <c r="F471" s="30" t="n">
        <v>456</v>
      </c>
      <c r="G471" s="31" t="n">
        <v>45587</v>
      </c>
      <c r="H471" s="31" t="n">
        <v>45631</v>
      </c>
      <c r="I471" s="0" t="n">
        <v>44</v>
      </c>
      <c r="J471" s="32" t="s">
        <v>34</v>
      </c>
      <c r="K471" s="32" t="s">
        <v>64</v>
      </c>
      <c r="L471" s="32" t="s">
        <v>1066</v>
      </c>
      <c r="M471" s="30" t="n">
        <v>392</v>
      </c>
    </row>
    <row r="472" customFormat="false" ht="15" hidden="false" customHeight="false" outlineLevel="0" collapsed="false">
      <c r="A472" s="0" t="s">
        <v>973</v>
      </c>
      <c r="B472" s="0" t="s">
        <v>702</v>
      </c>
      <c r="C472" s="0" t="s">
        <v>72</v>
      </c>
      <c r="D472" s="0" t="s">
        <v>93</v>
      </c>
      <c r="E472" s="0" t="n">
        <v>39</v>
      </c>
      <c r="F472" s="30" t="n">
        <v>1911</v>
      </c>
      <c r="G472" s="31" t="n">
        <v>45589</v>
      </c>
      <c r="H472" s="31" t="n">
        <v>45637</v>
      </c>
      <c r="I472" s="0" t="n">
        <v>48</v>
      </c>
      <c r="J472" s="32" t="s">
        <v>34</v>
      </c>
      <c r="K472" s="32" t="s">
        <v>64</v>
      </c>
      <c r="L472" s="32" t="s">
        <v>1067</v>
      </c>
      <c r="M472" s="30" t="n">
        <v>0</v>
      </c>
    </row>
    <row r="473" customFormat="false" ht="15" hidden="false" customHeight="false" outlineLevel="0" collapsed="false">
      <c r="A473" s="0" t="s">
        <v>1068</v>
      </c>
      <c r="B473" s="0" t="s">
        <v>821</v>
      </c>
      <c r="C473" s="0" t="s">
        <v>72</v>
      </c>
      <c r="D473" s="0" t="s">
        <v>98</v>
      </c>
      <c r="E473" s="0" t="n">
        <v>29</v>
      </c>
      <c r="F473" s="30" t="n">
        <v>0</v>
      </c>
      <c r="G473" s="31" t="n">
        <v>45532</v>
      </c>
      <c r="H473" s="31" t="n">
        <v>45609</v>
      </c>
      <c r="I473" s="0" t="n">
        <v>77</v>
      </c>
      <c r="J473" s="32" t="s">
        <v>34</v>
      </c>
      <c r="K473" s="32" t="s">
        <v>64</v>
      </c>
      <c r="L473" s="32" t="s">
        <v>1069</v>
      </c>
      <c r="M473" s="30" t="n">
        <v>437</v>
      </c>
    </row>
    <row r="474" customFormat="false" ht="15" hidden="false" customHeight="false" outlineLevel="0" collapsed="false">
      <c r="A474" s="0" t="s">
        <v>1070</v>
      </c>
      <c r="B474" s="0" t="s">
        <v>1071</v>
      </c>
      <c r="C474" s="0" t="s">
        <v>71</v>
      </c>
      <c r="D474" s="0" t="s">
        <v>93</v>
      </c>
      <c r="E474" s="0" t="n">
        <v>26</v>
      </c>
      <c r="F474" s="30" t="n">
        <v>494</v>
      </c>
      <c r="G474" s="31" t="n">
        <v>45225</v>
      </c>
      <c r="H474" s="31" t="n">
        <v>45368</v>
      </c>
      <c r="I474" s="0" t="n">
        <v>143</v>
      </c>
      <c r="J474" s="32" t="s">
        <v>31</v>
      </c>
      <c r="K474" s="32" t="s">
        <v>43</v>
      </c>
      <c r="M474" s="30" t="n">
        <v>0</v>
      </c>
    </row>
    <row r="475" customFormat="false" ht="15" hidden="false" customHeight="false" outlineLevel="0" collapsed="false">
      <c r="A475" s="0" t="s">
        <v>1072</v>
      </c>
      <c r="B475" s="0" t="s">
        <v>790</v>
      </c>
      <c r="C475" s="0" t="s">
        <v>73</v>
      </c>
      <c r="D475" s="0" t="s">
        <v>93</v>
      </c>
      <c r="E475" s="0" t="n">
        <v>15</v>
      </c>
      <c r="F475" s="30" t="n">
        <v>2985</v>
      </c>
      <c r="G475" s="31" t="n">
        <v>45537</v>
      </c>
      <c r="H475" s="31" t="n">
        <v>45641</v>
      </c>
      <c r="I475" s="0" t="n">
        <v>104</v>
      </c>
      <c r="J475" s="32" t="s">
        <v>34</v>
      </c>
      <c r="K475" s="32" t="s">
        <v>43</v>
      </c>
      <c r="M475" s="30" t="n">
        <v>0</v>
      </c>
    </row>
    <row r="476" customFormat="false" ht="15" hidden="false" customHeight="false" outlineLevel="0" collapsed="false">
      <c r="A476" s="0" t="s">
        <v>1073</v>
      </c>
      <c r="B476" s="0" t="s">
        <v>1074</v>
      </c>
      <c r="C476" s="0" t="s">
        <v>72</v>
      </c>
      <c r="D476" s="0" t="s">
        <v>93</v>
      </c>
      <c r="E476" s="0" t="n">
        <v>42</v>
      </c>
      <c r="F476" s="30" t="n">
        <v>2058</v>
      </c>
      <c r="G476" s="31" t="n">
        <v>45421</v>
      </c>
      <c r="H476" s="31" t="n">
        <v>45562</v>
      </c>
      <c r="I476" s="0" t="n">
        <v>141</v>
      </c>
      <c r="J476" s="32" t="s">
        <v>33</v>
      </c>
      <c r="K476" s="32" t="s">
        <v>64</v>
      </c>
      <c r="L476" s="32" t="s">
        <v>1075</v>
      </c>
      <c r="M476" s="30" t="n">
        <v>2587</v>
      </c>
    </row>
    <row r="477" customFormat="false" ht="15" hidden="false" customHeight="false" outlineLevel="0" collapsed="false">
      <c r="A477" s="0" t="s">
        <v>372</v>
      </c>
      <c r="B477" s="0" t="s">
        <v>121</v>
      </c>
      <c r="C477" s="0" t="s">
        <v>71</v>
      </c>
      <c r="D477" s="0" t="s">
        <v>98</v>
      </c>
      <c r="E477" s="0" t="n">
        <v>53</v>
      </c>
      <c r="F477" s="30" t="n">
        <v>0</v>
      </c>
      <c r="G477" s="31" t="n">
        <v>45635</v>
      </c>
      <c r="H477" s="31" t="n">
        <v>45644</v>
      </c>
      <c r="I477" s="0" t="n">
        <v>9</v>
      </c>
      <c r="J477" s="32" t="s">
        <v>34</v>
      </c>
      <c r="K477" s="32" t="s">
        <v>64</v>
      </c>
      <c r="L477" s="32" t="s">
        <v>122</v>
      </c>
      <c r="M477" s="30" t="n">
        <v>0</v>
      </c>
    </row>
    <row r="478" customFormat="false" ht="15" hidden="false" customHeight="false" outlineLevel="0" collapsed="false">
      <c r="A478" s="0" t="s">
        <v>1076</v>
      </c>
      <c r="B478" s="0" t="s">
        <v>1077</v>
      </c>
      <c r="C478" s="0" t="s">
        <v>72</v>
      </c>
      <c r="D478" s="0" t="s">
        <v>93</v>
      </c>
      <c r="E478" s="0" t="n">
        <v>55</v>
      </c>
      <c r="F478" s="30" t="n">
        <v>2695</v>
      </c>
      <c r="G478" s="31" t="n">
        <v>45515</v>
      </c>
      <c r="H478" s="31" t="n">
        <v>45588</v>
      </c>
      <c r="I478" s="0" t="n">
        <v>73</v>
      </c>
      <c r="J478" s="32" t="s">
        <v>34</v>
      </c>
      <c r="K478" s="32" t="s">
        <v>64</v>
      </c>
      <c r="L478" s="32" t="s">
        <v>1078</v>
      </c>
      <c r="M478" s="30" t="n">
        <v>0</v>
      </c>
    </row>
    <row r="479" customFormat="false" ht="15" hidden="false" customHeight="false" outlineLevel="0" collapsed="false">
      <c r="A479" s="0" t="s">
        <v>1079</v>
      </c>
      <c r="B479" s="0" t="s">
        <v>438</v>
      </c>
      <c r="C479" s="0" t="s">
        <v>73</v>
      </c>
      <c r="D479" s="0" t="s">
        <v>98</v>
      </c>
      <c r="E479" s="0" t="n">
        <v>21</v>
      </c>
      <c r="F479" s="30" t="n">
        <v>0</v>
      </c>
      <c r="G479" s="31" t="n">
        <v>45648</v>
      </c>
      <c r="H479" s="31" t="n">
        <v>45650</v>
      </c>
      <c r="I479" s="0" t="n">
        <v>2</v>
      </c>
      <c r="J479" s="32" t="s">
        <v>34</v>
      </c>
      <c r="K479" s="32" t="s">
        <v>64</v>
      </c>
      <c r="L479" s="32" t="s">
        <v>456</v>
      </c>
      <c r="M479" s="30" t="n">
        <v>0</v>
      </c>
    </row>
    <row r="480" customFormat="false" ht="15" hidden="false" customHeight="false" outlineLevel="0" collapsed="false">
      <c r="A480" s="0" t="s">
        <v>1080</v>
      </c>
      <c r="B480" s="0" t="s">
        <v>706</v>
      </c>
      <c r="C480" s="0" t="s">
        <v>71</v>
      </c>
      <c r="D480" s="0" t="s">
        <v>93</v>
      </c>
      <c r="E480" s="0" t="n">
        <v>19</v>
      </c>
      <c r="F480" s="30" t="n">
        <v>361</v>
      </c>
      <c r="G480" s="31" t="n">
        <v>45619</v>
      </c>
      <c r="H480" s="31" t="n">
        <v>45621</v>
      </c>
      <c r="I480" s="0" t="n">
        <v>2</v>
      </c>
      <c r="J480" s="32" t="s">
        <v>34</v>
      </c>
      <c r="K480" s="32" t="s">
        <v>64</v>
      </c>
      <c r="L480" s="32" t="s">
        <v>1081</v>
      </c>
      <c r="M480" s="30" t="n">
        <v>147</v>
      </c>
    </row>
    <row r="481" customFormat="false" ht="15" hidden="false" customHeight="false" outlineLevel="0" collapsed="false">
      <c r="A481" s="0" t="s">
        <v>1082</v>
      </c>
      <c r="B481" s="0" t="s">
        <v>396</v>
      </c>
      <c r="C481" s="0" t="s">
        <v>71</v>
      </c>
      <c r="D481" s="0" t="s">
        <v>93</v>
      </c>
      <c r="E481" s="0" t="n">
        <v>15</v>
      </c>
      <c r="F481" s="30" t="n">
        <v>285</v>
      </c>
      <c r="G481" s="31" t="n">
        <v>45550</v>
      </c>
      <c r="H481" s="31" t="n">
        <v>45554</v>
      </c>
      <c r="I481" s="0" t="n">
        <v>4</v>
      </c>
      <c r="J481" s="32" t="s">
        <v>33</v>
      </c>
      <c r="K481" s="32" t="s">
        <v>64</v>
      </c>
      <c r="L481" s="32" t="s">
        <v>1083</v>
      </c>
      <c r="M481" s="30" t="n">
        <v>2985</v>
      </c>
    </row>
    <row r="482" customFormat="false" ht="15" hidden="false" customHeight="false" outlineLevel="0" collapsed="false">
      <c r="A482" s="0" t="s">
        <v>1084</v>
      </c>
      <c r="B482" s="0" t="s">
        <v>639</v>
      </c>
      <c r="C482" s="0" t="s">
        <v>73</v>
      </c>
      <c r="D482" s="0" t="s">
        <v>93</v>
      </c>
      <c r="E482" s="0" t="n">
        <v>35</v>
      </c>
      <c r="F482" s="30" t="n">
        <v>6965</v>
      </c>
      <c r="G482" s="31" t="n">
        <v>45366</v>
      </c>
      <c r="H482" s="31" t="n">
        <v>45585</v>
      </c>
      <c r="I482" s="0" t="n">
        <v>219</v>
      </c>
      <c r="J482" s="32" t="s">
        <v>34</v>
      </c>
      <c r="K482" s="32" t="s">
        <v>43</v>
      </c>
      <c r="M482" s="30" t="n">
        <v>0</v>
      </c>
    </row>
    <row r="483" customFormat="false" ht="15" hidden="false" customHeight="false" outlineLevel="0" collapsed="false">
      <c r="A483" s="0" t="s">
        <v>1085</v>
      </c>
      <c r="B483" s="0" t="s">
        <v>1086</v>
      </c>
      <c r="C483" s="0" t="s">
        <v>73</v>
      </c>
      <c r="D483" s="0" t="s">
        <v>98</v>
      </c>
      <c r="E483" s="0" t="n">
        <v>22</v>
      </c>
      <c r="F483" s="30" t="n">
        <v>0</v>
      </c>
      <c r="G483" s="31" t="n">
        <v>45428</v>
      </c>
      <c r="H483" s="31" t="n">
        <v>45508</v>
      </c>
      <c r="I483" s="0" t="n">
        <v>80</v>
      </c>
      <c r="J483" s="32" t="s">
        <v>33</v>
      </c>
      <c r="K483" s="32" t="s">
        <v>43</v>
      </c>
      <c r="M483" s="30" t="n">
        <v>0</v>
      </c>
    </row>
    <row r="484" customFormat="false" ht="15" hidden="false" customHeight="false" outlineLevel="0" collapsed="false">
      <c r="A484" s="0" t="s">
        <v>1087</v>
      </c>
      <c r="B484" s="0" t="s">
        <v>827</v>
      </c>
      <c r="C484" s="0" t="s">
        <v>71</v>
      </c>
      <c r="D484" s="0" t="s">
        <v>93</v>
      </c>
      <c r="E484" s="0" t="n">
        <v>7</v>
      </c>
      <c r="F484" s="30" t="n">
        <v>133</v>
      </c>
      <c r="G484" s="31" t="n">
        <v>45083</v>
      </c>
      <c r="H484" s="31" t="n">
        <v>45637</v>
      </c>
      <c r="I484" s="0" t="n">
        <v>554</v>
      </c>
      <c r="J484" s="32" t="s">
        <v>34</v>
      </c>
      <c r="K484" s="32" t="s">
        <v>43</v>
      </c>
      <c r="M484" s="30" t="n">
        <v>0</v>
      </c>
    </row>
    <row r="485" customFormat="false" ht="15" hidden="false" customHeight="false" outlineLevel="0" collapsed="false">
      <c r="A485" s="0" t="s">
        <v>1088</v>
      </c>
      <c r="B485" s="0" t="s">
        <v>1089</v>
      </c>
      <c r="C485" s="0" t="s">
        <v>73</v>
      </c>
      <c r="D485" s="0" t="s">
        <v>93</v>
      </c>
      <c r="E485" s="0" t="n">
        <v>31</v>
      </c>
      <c r="F485" s="30" t="n">
        <v>6169</v>
      </c>
      <c r="G485" s="31" t="n">
        <v>45403</v>
      </c>
      <c r="H485" s="31" t="n">
        <v>45495</v>
      </c>
      <c r="I485" s="0" t="n">
        <v>92</v>
      </c>
      <c r="J485" s="32" t="s">
        <v>33</v>
      </c>
      <c r="K485" s="32" t="s">
        <v>64</v>
      </c>
      <c r="L485" s="32" t="s">
        <v>1090</v>
      </c>
      <c r="M485" s="30" t="n">
        <v>1519</v>
      </c>
    </row>
    <row r="486" customFormat="false" ht="15" hidden="false" customHeight="false" outlineLevel="0" collapsed="false">
      <c r="A486" s="0" t="s">
        <v>1091</v>
      </c>
      <c r="B486" s="0" t="s">
        <v>1092</v>
      </c>
      <c r="C486" s="0" t="s">
        <v>73</v>
      </c>
      <c r="D486" s="0" t="s">
        <v>93</v>
      </c>
      <c r="E486" s="0" t="n">
        <v>13</v>
      </c>
      <c r="F486" s="30" t="n">
        <v>2587</v>
      </c>
      <c r="G486" s="31" t="n">
        <v>45498</v>
      </c>
      <c r="H486" s="31" t="n">
        <v>45578</v>
      </c>
      <c r="I486" s="0" t="n">
        <v>80</v>
      </c>
      <c r="J486" s="32" t="s">
        <v>34</v>
      </c>
      <c r="K486" s="32" t="s">
        <v>43</v>
      </c>
      <c r="M486" s="30" t="n">
        <v>0</v>
      </c>
    </row>
    <row r="487" customFormat="false" ht="15" hidden="false" customHeight="false" outlineLevel="0" collapsed="false">
      <c r="A487" s="0" t="s">
        <v>1093</v>
      </c>
      <c r="B487" s="0" t="s">
        <v>946</v>
      </c>
      <c r="C487" s="0" t="s">
        <v>72</v>
      </c>
      <c r="D487" s="0" t="s">
        <v>93</v>
      </c>
      <c r="E487" s="0" t="n">
        <v>25</v>
      </c>
      <c r="F487" s="30" t="n">
        <v>1225</v>
      </c>
      <c r="G487" s="31" t="n">
        <v>45645</v>
      </c>
      <c r="H487" s="31" t="n">
        <v>45656</v>
      </c>
      <c r="I487" s="0" t="n">
        <v>11</v>
      </c>
      <c r="J487" s="32" t="s">
        <v>34</v>
      </c>
      <c r="K487" s="32" t="s">
        <v>64</v>
      </c>
      <c r="L487" s="32" t="s">
        <v>1094</v>
      </c>
      <c r="M487" s="30" t="n">
        <v>2388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2026-10-17T21:41:22Z</dcterms:created>
  <dc:creator>openpyxl</dc:creator>
  <dc:description/>
  <dc:language>en-US</dc:language>
  <cp:lastModifiedBy/>
  <dcterms:modified xsi:type="dcterms:W3CDTF">2026-10-17T18:41:28Z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