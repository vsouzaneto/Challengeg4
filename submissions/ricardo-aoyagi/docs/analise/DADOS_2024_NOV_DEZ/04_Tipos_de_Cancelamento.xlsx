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Trocas" sheetId="3" state="visible" r:id="rId3"/>
    <sheet xmlns:r="http://schemas.openxmlformats.org/officeDocument/2006/relationships" name="Por_perfil" sheetId="4" state="visible" r:id="rId4"/>
    <sheet xmlns:r="http://schemas.openxmlformats.org/officeDocument/2006/relationships" name="Lista_26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5"/>
    </font>
    <font>
      <name val="Arial"/>
      <i val="1"/>
      <color rgb="0052514E"/>
      <sz val="9"/>
    </font>
    <font>
      <name val="Arial"/>
      <b val="1"/>
      <sz val="12"/>
    </font>
    <font>
      <name val="Arial"/>
      <b val="1"/>
      <sz val="9"/>
    </font>
    <font>
      <name val="Arial"/>
      <i val="1"/>
      <color rgb="0052514E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F766E"/>
      </patternFill>
    </fill>
    <fill>
      <patternFill patternType="solid">
        <fgColor rgb="00B45309"/>
      </patternFill>
    </fill>
    <fill>
      <patternFill patternType="solid">
        <fgColor rgb="00B91C1C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CFBF1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Tipo de cancelamento (janela 7 dias)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'Resumo'!C9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numRef>
              <f>'Resumo'!$A$10:$A$11</f>
            </numRef>
          </cat>
          <val>
            <numRef>
              <f>'Resumo'!$C$10:$C$11</f>
            </numRef>
          </val>
        </ser>
        <ser>
          <idx val="1"/>
          <order val="1"/>
          <tx>
            <strRef>
              <f>'Resumo'!E9</f>
            </strRef>
          </tx>
          <spPr>
            <a:solidFill xmlns:a="http://schemas.openxmlformats.org/drawingml/2006/main">
              <a:srgbClr val="B45309"/>
            </a:solidFill>
            <a:ln xmlns:a="http://schemas.openxmlformats.org/drawingml/2006/main">
              <a:prstDash val="solid"/>
            </a:ln>
          </spPr>
          <cat>
            <numRef>
              <f>'Resumo'!$A$10:$A$11</f>
            </numRef>
          </cat>
          <val>
            <numRef>
              <f>'Resumo'!$E$10:$E$11</f>
            </numRef>
          </val>
        </ser>
        <ser>
          <idx val="2"/>
          <order val="2"/>
          <tx>
            <strRef>
              <f>'Resumo'!G9</f>
            </strRef>
          </tx>
          <spPr>
            <a:solidFill xmlns:a="http://schemas.openxmlformats.org/drawingml/2006/main">
              <a:srgbClr val="B91C1C"/>
            </a:solidFill>
            <a:ln xmlns:a="http://schemas.openxmlformats.org/drawingml/2006/main">
              <a:prstDash val="solid"/>
            </a:ln>
          </spPr>
          <cat>
            <numRef>
              <f>'Resumo'!$A$10:$A$11</f>
            </numRef>
          </cat>
          <val>
            <numRef>
              <f>'Resumo'!$G$10:$G$11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Lista266" displayName="tLista266" ref="A1:W267" headerRowCount="1">
  <autoFilter ref="A1:W267"/>
  <tableColumns count="23">
    <tableColumn id="1" name="Assinatura"/>
    <tableColumn id="2" name="Conta"/>
    <tableColumn id="3" name="Velocidade"/>
    <tableColumn id="4" name="Mês do fim"/>
    <tableColumn id="5" name="Fim entre 29 e 31/12?"/>
    <tableColumn id="6" name="Início"/>
    <tableColumn id="7" name="Fim"/>
    <tableColumn id="8" name="Dias de vida"/>
    <tableColumn id="9" name="Plano"/>
    <tableColumn id="10" name="Cobrança"/>
    <tableColumn id="11" name="Seats"/>
    <tableColumn id="12" name="Faixa de seats"/>
    <tableColumn id="13" name="País"/>
    <tableColumn id="14" name="TIPO (janela 7 dias)"/>
    <tableColumn id="15" name="Tipo (janela 3 dias)"/>
    <tableColumn id="16" name="Tipo (janela 14 dias)"/>
    <tableColumn id="17" name="Outras assinaturas ativas no dia do fim"/>
    <tableColumn id="18" name="Assinaturas novas até 7 dias antes/depois"/>
    <tableColumn id="19" name="Nova mais próxima"/>
    <tableColumn id="20" name="Plano da nova vs cancelada"/>
    <tableColumn id="21" name="Cobrança da nova vs cancelada"/>
    <tableColumn id="22" name="Seats da nova vs cancelada"/>
    <tableColumn id="23" name="Conta tem evento de churn em nov/dez?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>
      <c r="B1" s="1" t="inlineStr">
        <is>
          <t>Nov/dez 2024 · As assinaturas encerradas foram troca, redução ou saída do cliente?</t>
        </is>
      </c>
    </row>
    <row r="2">
      <c r="B2" s="2" t="inlineStr">
        <is>
          <t>Planilha apartada. Lê os CSVs originais sem alterá-los. Só quantidades.</t>
        </is>
      </c>
    </row>
    <row r="3">
      <c r="B3" s="3" t="inlineStr"/>
    </row>
    <row r="4">
      <c r="B4" s="4" t="inlineStr">
        <is>
          <t>A REGRA (simples e explicável)</t>
        </is>
      </c>
    </row>
    <row r="5">
      <c r="B5" s="3" t="inlineStr">
        <is>
          <t>Para cada uma das 266 assinaturas encerradas em nov/dez, olhamos a conta no dia do encerramento:</t>
        </is>
      </c>
    </row>
    <row r="6">
      <c r="B6" s="3" t="inlineStr">
        <is>
          <t>• SAÍDA DO CLIENTE: a conta ficou sem nenhuma assinatura ativa e não abriu outra em até 7 dias.</t>
        </is>
      </c>
    </row>
    <row r="7">
      <c r="B7" s="3" t="inlineStr">
        <is>
          <t>• TROCA/AJUSTE: a conta abriu outra assinatura até 7 dias antes ou depois do encerramento.</t>
        </is>
      </c>
    </row>
    <row r="8">
      <c r="B8" s="3" t="inlineStr">
        <is>
          <t>• REDUÇÃO: a conta continuou com outras assinaturas ativas, sem compra nova perto da data.</t>
        </is>
      </c>
    </row>
    <row r="9">
      <c r="B9" s="2" t="inlineStr">
        <is>
          <t>A janela de 7 dias é uma escolha; a aba Resumo mostra o resultado também com 3 e 14 dias.</t>
        </is>
      </c>
    </row>
    <row r="10">
      <c r="B10" s="3" t="inlineStr"/>
    </row>
    <row r="11">
      <c r="B11" s="4" t="inlineStr">
        <is>
          <t>RESULTADO</t>
        </is>
      </c>
    </row>
    <row r="12">
      <c r="B12" s="3" t="inlineStr">
        <is>
          <t>• Saída do cliente: 0 de 266. Nenhuma conta ficou sem assinatura por causa desses encerramentos (com janela de 3 dias aparece 1 caso, que reabre em seguida).</t>
        </is>
      </c>
    </row>
    <row r="13">
      <c r="B13" s="3" t="inlineStr">
        <is>
          <t>• Troca/ajuste: 156 (59%). Entre as rápidas: 107 de 159 (67%).</t>
        </is>
      </c>
    </row>
    <row r="14">
      <c r="B14" s="3" t="inlineStr">
        <is>
          <t>• Redução: 110 (41%).</t>
        </is>
      </c>
    </row>
    <row r="15">
      <c r="B15" s="3" t="inlineStr">
        <is>
          <t>• Cuidado: essas contas abrem assinaturas com frequência (≈ 41% de chance de haver uma nova em ±7 dias numa data qualquer). Parte das "trocas" pode ser coincidência.</t>
        </is>
      </c>
    </row>
    <row r="16">
      <c r="B16" s="3" t="inlineStr">
        <is>
          <t>• As trocas vão para os dois lados (plano acima/abaixo/igual, cobrança e seats mudando nos dois sentidos): reconfiguração do contrato, não um movimento único.</t>
        </is>
      </c>
    </row>
    <row r="17">
      <c r="B17" s="3" t="inlineStr"/>
    </row>
    <row r="18">
      <c r="B18" s="4" t="inlineStr">
        <is>
          <t>O QUE ISSO SIGNIFICA</t>
        </is>
      </c>
    </row>
    <row r="19">
      <c r="B19" s="3" t="inlineStr">
        <is>
          <t>O aumento de "churn" em nov/dez não é perda de clientes: é movimentação de assinaturas dentro de contas que continuam ativas. Para medir churn de verdade é preciso separar: saída do cliente (perda), redução (perda parcial) e troca/ajuste (não é perda). Com a regra atual, tudo entra no mesmo número.</t>
        </is>
      </c>
    </row>
    <row r="20">
      <c r="B20" s="3" t="inlineStr">
        <is>
          <t>Próximo passo natural: trazer os valores em US$ para cada tipo, para ver quanto de receita realmente saiu (redução) e quanto apenas mudou de assinatura (troca).</t>
        </is>
      </c>
    </row>
    <row r="21">
      <c r="B21" s="3" t="inlineStr"/>
    </row>
    <row r="22">
      <c r="B22" s="4" t="inlineStr">
        <is>
          <t>ABAS</t>
        </is>
      </c>
    </row>
    <row r="23">
      <c r="B23" s="3" t="inlineStr">
        <is>
          <t>• Resumo: contagem por tipo, por velocidade, mês, pico de 29–31/12, evento de churn e janelas de 3/7/14 dias.   • Trocas: o que a conta abriu no lugar.   • Por_perfil: tipo por plano, cobrança, seats e país.   • Lista_266: uma linha por assinatura, com a explicação da classificação.</t>
        </is>
      </c>
    </row>
    <row r="24">
      <c r="B24" s="3" t="inlineStr"/>
    </row>
    <row r="25">
      <c r="B25" s="4" t="inlineStr">
        <is>
          <t>LIMITES</t>
        </is>
      </c>
    </row>
    <row r="26">
      <c r="B26" s="3" t="inlineStr">
        <is>
          <t>• Base fictícia. A regra olha só a tabela de assinaturas (a confiável). "Redução" pode incluir casos em que a conta já tinha a assinatura substituta antes da janela.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8" customWidth="1" min="4" max="4"/>
    <col width="11" customWidth="1" min="5" max="5"/>
    <col width="8" customWidth="1" min="6" max="6"/>
    <col width="11" customWidth="1" min="7" max="7"/>
    <col width="8" customWidth="1" min="8" max="8"/>
  </cols>
  <sheetData>
    <row r="1">
      <c r="A1" s="5" t="inlineStr">
        <is>
          <t>As 266 assinaturas encerradas em nov/dez: quantas foram perda de cliente?</t>
        </is>
      </c>
    </row>
    <row r="2" ht="40" customHeight="1">
      <c r="A2" s="6" t="inlineStr">
        <is>
          <t>Regra (janela de 7 dias): SAÍDA = a conta ficou sem nenhuma assinatura ativa e não comprou outra em até 7 dias · TROCA/AJUSTE = a conta abriu outra assinatura até 7 dias antes ou depois · REDUÇÃO = a conta seguiu ativa, sem compra nova perto.</t>
        </is>
      </c>
    </row>
    <row r="4">
      <c r="A4" s="7" t="inlineStr">
        <is>
          <t>1. Todas as encerradas</t>
        </is>
      </c>
    </row>
    <row r="5" ht="40" customHeight="1">
      <c r="A5" s="8" t="inlineStr"/>
      <c r="B5" s="8" t="inlineStr">
        <is>
          <t>Encerradas</t>
        </is>
      </c>
      <c r="C5" s="9" t="inlineStr">
        <is>
          <t>Troca/ajuste</t>
        </is>
      </c>
      <c r="D5" s="9" t="inlineStr">
        <is>
          <t>%</t>
        </is>
      </c>
      <c r="E5" s="10" t="inlineStr">
        <is>
          <t>Redução</t>
        </is>
      </c>
      <c r="F5" s="10" t="inlineStr">
        <is>
          <t>%</t>
        </is>
      </c>
      <c r="G5" s="11" t="inlineStr">
        <is>
          <t>Saída do cliente</t>
        </is>
      </c>
      <c r="H5" s="11" t="inlineStr">
        <is>
          <t>%</t>
        </is>
      </c>
    </row>
    <row r="6">
      <c r="A6" s="12" t="inlineStr">
        <is>
          <t>Todas</t>
        </is>
      </c>
      <c r="B6" s="13">
        <f>COUNTA(Lista_266!$A$2:$A$267)</f>
        <v/>
      </c>
      <c r="C6" s="13">
        <f>COUNTIFS(Lista_266!$N$2:$N$267,"Troca/ajuste")</f>
        <v/>
      </c>
      <c r="D6" s="14">
        <f>IF($B6&gt;0,C6/$B6,"")</f>
        <v/>
      </c>
      <c r="E6" s="13">
        <f>COUNTIFS(Lista_266!$N$2:$N$267,"Redução")</f>
        <v/>
      </c>
      <c r="F6" s="14">
        <f>IF($B6&gt;0,E6/$B6,"")</f>
        <v/>
      </c>
      <c r="G6" s="13">
        <f>COUNTIFS(Lista_266!$N$2:$N$267,"Saída do cliente")</f>
        <v/>
      </c>
      <c r="H6" s="14">
        <f>IF($B6&gt;0,G6/$B6,"")</f>
        <v/>
      </c>
    </row>
    <row r="8">
      <c r="A8" s="7" t="inlineStr">
        <is>
          <t>2. Por velocidade</t>
        </is>
      </c>
    </row>
    <row r="9" ht="40" customHeight="1">
      <c r="A9" s="8" t="inlineStr">
        <is>
          <t>Velocidade</t>
        </is>
      </c>
      <c r="B9" s="8" t="inlineStr">
        <is>
          <t>Encerradas</t>
        </is>
      </c>
      <c r="C9" s="9" t="inlineStr">
        <is>
          <t>Troca/ajuste</t>
        </is>
      </c>
      <c r="D9" s="9" t="inlineStr">
        <is>
          <t>%</t>
        </is>
      </c>
      <c r="E9" s="10" t="inlineStr">
        <is>
          <t>Redução</t>
        </is>
      </c>
      <c r="F9" s="10" t="inlineStr">
        <is>
          <t>%</t>
        </is>
      </c>
      <c r="G9" s="11" t="inlineStr">
        <is>
          <t>Saída do cliente</t>
        </is>
      </c>
      <c r="H9" s="11" t="inlineStr">
        <is>
          <t>%</t>
        </is>
      </c>
    </row>
    <row r="10">
      <c r="A10" s="12" t="inlineStr">
        <is>
          <t>Rápida (&lt; 30 dias)</t>
        </is>
      </c>
      <c r="B10" s="13">
        <f>COUNTIFS(Lista_266!$C$2:$C$267,"Rápida (&lt; 30 dias)")</f>
        <v/>
      </c>
      <c r="C10" s="13">
        <f>COUNTIFS(Lista_266!$N$2:$N$267,"Troca/ajuste",Lista_266!$C$2:$C$267,"Rápida (&lt; 30 dias)")</f>
        <v/>
      </c>
      <c r="D10" s="14">
        <f>IF($B10&gt;0,C10/$B10,"")</f>
        <v/>
      </c>
      <c r="E10" s="13">
        <f>COUNTIFS(Lista_266!$N$2:$N$267,"Redução",Lista_266!$C$2:$C$267,"Rápida (&lt; 30 dias)")</f>
        <v/>
      </c>
      <c r="F10" s="14">
        <f>IF($B10&gt;0,E10/$B10,"")</f>
        <v/>
      </c>
      <c r="G10" s="13">
        <f>COUNTIFS(Lista_266!$N$2:$N$267,"Saída do cliente",Lista_266!$C$2:$C$267,"Rápida (&lt; 30 dias)")</f>
        <v/>
      </c>
      <c r="H10" s="14">
        <f>IF($B10&gt;0,G10/$B10,"")</f>
        <v/>
      </c>
    </row>
    <row r="11">
      <c r="A11" s="12" t="inlineStr">
        <is>
          <t>Lenta (30+ dias)</t>
        </is>
      </c>
      <c r="B11" s="13">
        <f>COUNTIFS(Lista_266!$C$2:$C$267,"Lenta (30+ dias)")</f>
        <v/>
      </c>
      <c r="C11" s="13">
        <f>COUNTIFS(Lista_266!$N$2:$N$267,"Troca/ajuste",Lista_266!$C$2:$C$267,"Lenta (30+ dias)")</f>
        <v/>
      </c>
      <c r="D11" s="14">
        <f>IF($B11&gt;0,C11/$B11,"")</f>
        <v/>
      </c>
      <c r="E11" s="13">
        <f>COUNTIFS(Lista_266!$N$2:$N$267,"Redução",Lista_266!$C$2:$C$267,"Lenta (30+ dias)")</f>
        <v/>
      </c>
      <c r="F11" s="14">
        <f>IF($B11&gt;0,E11/$B11,"")</f>
        <v/>
      </c>
      <c r="G11" s="13">
        <f>COUNTIFS(Lista_266!$N$2:$N$267,"Saída do cliente",Lista_266!$C$2:$C$267,"Lenta (30+ dias)")</f>
        <v/>
      </c>
      <c r="H11" s="14">
        <f>IF($B11&gt;0,G11/$B11,"")</f>
        <v/>
      </c>
    </row>
    <row r="13">
      <c r="A13" s="7" t="inlineStr">
        <is>
          <t>3. Por mês</t>
        </is>
      </c>
    </row>
    <row r="14" ht="40" customHeight="1">
      <c r="A14" s="8" t="inlineStr">
        <is>
          <t>Mês do fim</t>
        </is>
      </c>
      <c r="B14" s="8" t="inlineStr">
        <is>
          <t>Encerradas</t>
        </is>
      </c>
      <c r="C14" s="9" t="inlineStr">
        <is>
          <t>Troca/ajuste</t>
        </is>
      </c>
      <c r="D14" s="9" t="inlineStr">
        <is>
          <t>%</t>
        </is>
      </c>
      <c r="E14" s="10" t="inlineStr">
        <is>
          <t>Redução</t>
        </is>
      </c>
      <c r="F14" s="10" t="inlineStr">
        <is>
          <t>%</t>
        </is>
      </c>
      <c r="G14" s="11" t="inlineStr">
        <is>
          <t>Saída do cliente</t>
        </is>
      </c>
      <c r="H14" s="11" t="inlineStr">
        <is>
          <t>%</t>
        </is>
      </c>
    </row>
    <row r="15">
      <c r="A15" s="12" t="inlineStr">
        <is>
          <t>Nov/24</t>
        </is>
      </c>
      <c r="B15" s="13">
        <f>COUNTIFS(Lista_266!$D$2:$D$267,"Nov/24")</f>
        <v/>
      </c>
      <c r="C15" s="13">
        <f>COUNTIFS(Lista_266!$N$2:$N$267,"Troca/ajuste",Lista_266!$D$2:$D$267,"Nov/24")</f>
        <v/>
      </c>
      <c r="D15" s="14">
        <f>IF($B15&gt;0,C15/$B15,"")</f>
        <v/>
      </c>
      <c r="E15" s="13">
        <f>COUNTIFS(Lista_266!$N$2:$N$267,"Redução",Lista_266!$D$2:$D$267,"Nov/24")</f>
        <v/>
      </c>
      <c r="F15" s="14">
        <f>IF($B15&gt;0,E15/$B15,"")</f>
        <v/>
      </c>
      <c r="G15" s="13">
        <f>COUNTIFS(Lista_266!$N$2:$N$267,"Saída do cliente",Lista_266!$D$2:$D$267,"Nov/24")</f>
        <v/>
      </c>
      <c r="H15" s="14">
        <f>IF($B15&gt;0,G15/$B15,"")</f>
        <v/>
      </c>
    </row>
    <row r="16">
      <c r="A16" s="12" t="inlineStr">
        <is>
          <t>Dez/24</t>
        </is>
      </c>
      <c r="B16" s="13">
        <f>COUNTIFS(Lista_266!$D$2:$D$267,"Dez/24")</f>
        <v/>
      </c>
      <c r="C16" s="13">
        <f>COUNTIFS(Lista_266!$N$2:$N$267,"Troca/ajuste",Lista_266!$D$2:$D$267,"Dez/24")</f>
        <v/>
      </c>
      <c r="D16" s="14">
        <f>IF($B16&gt;0,C16/$B16,"")</f>
        <v/>
      </c>
      <c r="E16" s="13">
        <f>COUNTIFS(Lista_266!$N$2:$N$267,"Redução",Lista_266!$D$2:$D$267,"Dez/24")</f>
        <v/>
      </c>
      <c r="F16" s="14">
        <f>IF($B16&gt;0,E16/$B16,"")</f>
        <v/>
      </c>
      <c r="G16" s="13">
        <f>COUNTIFS(Lista_266!$N$2:$N$267,"Saída do cliente",Lista_266!$D$2:$D$267,"Dez/24")</f>
        <v/>
      </c>
      <c r="H16" s="14">
        <f>IF($B16&gt;0,G16/$B16,"")</f>
        <v/>
      </c>
    </row>
    <row r="18">
      <c r="A18" s="7" t="inlineStr">
        <is>
          <t>4. O pico de 29 a 31/12</t>
        </is>
      </c>
    </row>
    <row r="19" ht="40" customHeight="1">
      <c r="A19" s="8" t="inlineStr">
        <is>
          <t>Fim entre 29 e 31/12?</t>
        </is>
      </c>
      <c r="B19" s="8" t="inlineStr">
        <is>
          <t>Encerradas</t>
        </is>
      </c>
      <c r="C19" s="9" t="inlineStr">
        <is>
          <t>Troca/ajuste</t>
        </is>
      </c>
      <c r="D19" s="9" t="inlineStr">
        <is>
          <t>%</t>
        </is>
      </c>
      <c r="E19" s="10" t="inlineStr">
        <is>
          <t>Redução</t>
        </is>
      </c>
      <c r="F19" s="10" t="inlineStr">
        <is>
          <t>%</t>
        </is>
      </c>
      <c r="G19" s="11" t="inlineStr">
        <is>
          <t>Saída do cliente</t>
        </is>
      </c>
      <c r="H19" s="11" t="inlineStr">
        <is>
          <t>%</t>
        </is>
      </c>
    </row>
    <row r="20">
      <c r="A20" s="12" t="inlineStr">
        <is>
          <t>Sim</t>
        </is>
      </c>
      <c r="B20" s="13">
        <f>COUNTIFS(Lista_266!$E$2:$E$267,"Sim")</f>
        <v/>
      </c>
      <c r="C20" s="13">
        <f>COUNTIFS(Lista_266!$N$2:$N$267,"Troca/ajuste",Lista_266!$E$2:$E$267,"Sim")</f>
        <v/>
      </c>
      <c r="D20" s="14">
        <f>IF($B20&gt;0,C20/$B20,"")</f>
        <v/>
      </c>
      <c r="E20" s="13">
        <f>COUNTIFS(Lista_266!$N$2:$N$267,"Redução",Lista_266!$E$2:$E$267,"Sim")</f>
        <v/>
      </c>
      <c r="F20" s="14">
        <f>IF($B20&gt;0,E20/$B20,"")</f>
        <v/>
      </c>
      <c r="G20" s="13">
        <f>COUNTIFS(Lista_266!$N$2:$N$267,"Saída do cliente",Lista_266!$E$2:$E$267,"Sim")</f>
        <v/>
      </c>
      <c r="H20" s="14">
        <f>IF($B20&gt;0,G20/$B20,"")</f>
        <v/>
      </c>
    </row>
    <row r="21">
      <c r="A21" s="12" t="inlineStr">
        <is>
          <t>Não</t>
        </is>
      </c>
      <c r="B21" s="13">
        <f>COUNTIFS(Lista_266!$E$2:$E$267,"Não")</f>
        <v/>
      </c>
      <c r="C21" s="13">
        <f>COUNTIFS(Lista_266!$N$2:$N$267,"Troca/ajuste",Lista_266!$E$2:$E$267,"Não")</f>
        <v/>
      </c>
      <c r="D21" s="14">
        <f>IF($B21&gt;0,C21/$B21,"")</f>
        <v/>
      </c>
      <c r="E21" s="13">
        <f>COUNTIFS(Lista_266!$N$2:$N$267,"Redução",Lista_266!$E$2:$E$267,"Não")</f>
        <v/>
      </c>
      <c r="F21" s="14">
        <f>IF($B21&gt;0,E21/$B21,"")</f>
        <v/>
      </c>
      <c r="G21" s="13">
        <f>COUNTIFS(Lista_266!$N$2:$N$267,"Saída do cliente",Lista_266!$E$2:$E$267,"Não")</f>
        <v/>
      </c>
      <c r="H21" s="14">
        <f>IF($B21&gt;0,G21/$B21,"")</f>
        <v/>
      </c>
    </row>
    <row r="23">
      <c r="A23" s="7" t="inlineStr">
        <is>
          <t>5. A conta registrou evento de churn em nov/dez?</t>
        </is>
      </c>
    </row>
    <row r="24" ht="40" customHeight="1">
      <c r="A24" s="8" t="inlineStr">
        <is>
          <t>Evento de churn?</t>
        </is>
      </c>
      <c r="B24" s="8" t="inlineStr">
        <is>
          <t>Encerradas</t>
        </is>
      </c>
      <c r="C24" s="9" t="inlineStr">
        <is>
          <t>Troca/ajuste</t>
        </is>
      </c>
      <c r="D24" s="9" t="inlineStr">
        <is>
          <t>%</t>
        </is>
      </c>
      <c r="E24" s="10" t="inlineStr">
        <is>
          <t>Redução</t>
        </is>
      </c>
      <c r="F24" s="10" t="inlineStr">
        <is>
          <t>%</t>
        </is>
      </c>
      <c r="G24" s="11" t="inlineStr">
        <is>
          <t>Saída do cliente</t>
        </is>
      </c>
      <c r="H24" s="11" t="inlineStr">
        <is>
          <t>%</t>
        </is>
      </c>
    </row>
    <row r="25">
      <c r="A25" s="12" t="inlineStr">
        <is>
          <t>Sim</t>
        </is>
      </c>
      <c r="B25" s="13">
        <f>COUNTIFS(Lista_266!$W$2:$W$267,"Sim")</f>
        <v/>
      </c>
      <c r="C25" s="13">
        <f>COUNTIFS(Lista_266!$N$2:$N$267,"Troca/ajuste",Lista_266!$W$2:$W$267,"Sim")</f>
        <v/>
      </c>
      <c r="D25" s="14">
        <f>IF($B25&gt;0,C25/$B25,"")</f>
        <v/>
      </c>
      <c r="E25" s="13">
        <f>COUNTIFS(Lista_266!$N$2:$N$267,"Redução",Lista_266!$W$2:$W$267,"Sim")</f>
        <v/>
      </c>
      <c r="F25" s="14">
        <f>IF($B25&gt;0,E25/$B25,"")</f>
        <v/>
      </c>
      <c r="G25" s="13">
        <f>COUNTIFS(Lista_266!$N$2:$N$267,"Saída do cliente",Lista_266!$W$2:$W$267,"Sim")</f>
        <v/>
      </c>
      <c r="H25" s="14">
        <f>IF($B25&gt;0,G25/$B25,"")</f>
        <v/>
      </c>
    </row>
    <row r="26">
      <c r="A26" s="12" t="inlineStr">
        <is>
          <t>Não</t>
        </is>
      </c>
      <c r="B26" s="13">
        <f>COUNTIFS(Lista_266!$W$2:$W$267,"Não")</f>
        <v/>
      </c>
      <c r="C26" s="13">
        <f>COUNTIFS(Lista_266!$N$2:$N$267,"Troca/ajuste",Lista_266!$W$2:$W$267,"Não")</f>
        <v/>
      </c>
      <c r="D26" s="14">
        <f>IF($B26&gt;0,C26/$B26,"")</f>
        <v/>
      </c>
      <c r="E26" s="13">
        <f>COUNTIFS(Lista_266!$N$2:$N$267,"Redução",Lista_266!$W$2:$W$267,"Não")</f>
        <v/>
      </c>
      <c r="F26" s="14">
        <f>IF($B26&gt;0,E26/$B26,"")</f>
        <v/>
      </c>
      <c r="G26" s="13">
        <f>COUNTIFS(Lista_266!$N$2:$N$267,"Saída do cliente",Lista_266!$W$2:$W$267,"Não")</f>
        <v/>
      </c>
      <c r="H26" s="14">
        <f>IF($B26&gt;0,G26/$B26,"")</f>
        <v/>
      </c>
    </row>
    <row r="28">
      <c r="A28" s="7" t="inlineStr">
        <is>
          <t>6. E se a janela fosse outra? (sensibilidade da regra)</t>
        </is>
      </c>
    </row>
    <row r="29" ht="40" customHeight="1">
      <c r="A29" s="8" t="inlineStr">
        <is>
          <t>Janela</t>
        </is>
      </c>
      <c r="B29" s="8" t="inlineStr">
        <is>
          <t>Encerradas</t>
        </is>
      </c>
      <c r="C29" s="9" t="inlineStr">
        <is>
          <t>Troca/ajuste</t>
        </is>
      </c>
      <c r="D29" s="9" t="inlineStr">
        <is>
          <t>%</t>
        </is>
      </c>
      <c r="E29" s="10" t="inlineStr">
        <is>
          <t>Redução</t>
        </is>
      </c>
      <c r="F29" s="10" t="inlineStr">
        <is>
          <t>%</t>
        </is>
      </c>
      <c r="G29" s="11" t="inlineStr">
        <is>
          <t>Saída do cliente</t>
        </is>
      </c>
      <c r="H29" s="11" t="inlineStr">
        <is>
          <t>%</t>
        </is>
      </c>
    </row>
    <row r="30">
      <c r="A30" s="12" t="inlineStr">
        <is>
          <t>3 dias</t>
        </is>
      </c>
      <c r="B30" s="13">
        <f>COUNTA(Lista_266!$A$2:$A$267)</f>
        <v/>
      </c>
      <c r="C30" s="13">
        <f>COUNTIF(Lista_266!$O$2:$O$267,"Troca/ajuste")</f>
        <v/>
      </c>
      <c r="D30" s="14">
        <f>C30/$B30</f>
        <v/>
      </c>
      <c r="E30" s="13">
        <f>COUNTIF(Lista_266!$O$2:$O$267,"Redução")</f>
        <v/>
      </c>
      <c r="F30" s="14">
        <f>E30/$B30</f>
        <v/>
      </c>
      <c r="G30" s="13">
        <f>COUNTIF(Lista_266!$O$2:$O$267,"Saída do cliente")</f>
        <v/>
      </c>
      <c r="H30" s="14">
        <f>G30/$B30</f>
        <v/>
      </c>
    </row>
    <row r="31">
      <c r="A31" s="12" t="inlineStr">
        <is>
          <t>7 dias</t>
        </is>
      </c>
      <c r="B31" s="13">
        <f>COUNTA(Lista_266!$A$2:$A$267)</f>
        <v/>
      </c>
      <c r="C31" s="13">
        <f>COUNTIF(Lista_266!$N$2:$N$267,"Troca/ajuste")</f>
        <v/>
      </c>
      <c r="D31" s="14">
        <f>C31/$B31</f>
        <v/>
      </c>
      <c r="E31" s="13">
        <f>COUNTIF(Lista_266!$N$2:$N$267,"Redução")</f>
        <v/>
      </c>
      <c r="F31" s="14">
        <f>E31/$B31</f>
        <v/>
      </c>
      <c r="G31" s="13">
        <f>COUNTIF(Lista_266!$N$2:$N$267,"Saída do cliente")</f>
        <v/>
      </c>
      <c r="H31" s="14">
        <f>G31/$B31</f>
        <v/>
      </c>
    </row>
    <row r="32">
      <c r="A32" s="12" t="inlineStr">
        <is>
          <t>14 dias</t>
        </is>
      </c>
      <c r="B32" s="13">
        <f>COUNTA(Lista_266!$A$2:$A$267)</f>
        <v/>
      </c>
      <c r="C32" s="13">
        <f>COUNTIF(Lista_266!$P$2:$P$267,"Troca/ajuste")</f>
        <v/>
      </c>
      <c r="D32" s="14">
        <f>C32/$B32</f>
        <v/>
      </c>
      <c r="E32" s="13">
        <f>COUNTIF(Lista_266!$P$2:$P$267,"Redução")</f>
        <v/>
      </c>
      <c r="F32" s="14">
        <f>E32/$B32</f>
        <v/>
      </c>
      <c r="G32" s="13">
        <f>COUNTIF(Lista_266!$P$2:$P$267,"Saída do cliente")</f>
        <v/>
      </c>
      <c r="H32" s="14">
        <f>G32/$B32</f>
        <v/>
      </c>
    </row>
    <row r="34">
      <c r="A34" s="12" t="inlineStr">
        <is>
          <t>Referência: chance de uma conta qualquer abrir assinatura em ±7 dias de uma data qualquer de nov/dez</t>
        </is>
      </c>
      <c r="B34" s="15" t="n"/>
      <c r="C34" s="16" t="n"/>
      <c r="D34" s="14" t="n">
        <v>0.412</v>
      </c>
    </row>
    <row r="35">
      <c r="A35" s="12" t="inlineStr">
        <is>
          <t>Contas sem nenhuma assinatura ativa em 31/12/2024 (base inteira, 500 contas)</t>
        </is>
      </c>
      <c r="B35" s="15" t="n"/>
      <c r="C35" s="16" t="n"/>
      <c r="D35" s="13" t="n">
        <v>0</v>
      </c>
    </row>
    <row r="37" ht="30" customHeight="1">
      <c r="A37" s="6" t="inlineStr">
        <is>
          <t>Leitura: nenhuma das 266 assinaturas encerradas em nov/dez levou a conta a ficar sem assinatura. Não houve saída de cliente no período. O que houve foi troca/ajuste (a conta abriu outra assinatura perto da data) e redução (a conta seguiu com as demais assinaturas).</t>
        </is>
      </c>
    </row>
    <row r="38" ht="30" customHeight="1">
      <c r="A38" s="6" t="inlineStr">
        <is>
          <t>Cuidado com a "troca": essas contas abrem assinaturas com frequência. Numa data qualquer, já existe 41% de chance de haver assinatura nova em ±7 dias. Por isso parte das "trocas" pode ser coincidência; o excesso acima dessa referência é o que indica troca de fato.</t>
        </is>
      </c>
    </row>
    <row r="39" ht="30" customHeight="1">
      <c r="A39" s="6" t="inlineStr">
        <is>
          <t>A regra é simples e explicável de propósito. A aba Lista_266 mostra, para cada assinatura, quantas outras estavam ativas no dia e quais assinaturas novas apareceram perto.</t>
        </is>
      </c>
    </row>
  </sheetData>
  <mergeCells count="6">
    <mergeCell ref="A39:H39"/>
    <mergeCell ref="A38:H38"/>
    <mergeCell ref="A2:H2"/>
    <mergeCell ref="A37:H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Trocas/ajustes: o que a conta abriu no lugar?</t>
        </is>
      </c>
    </row>
    <row r="2">
      <c r="A2" s="17" t="inlineStr">
        <is>
          <t>Compara a assinatura cancelada com a assinatura nova mais próxima (até 7 dias antes ou depois). Contagens por fórmula sobre Lista_266.</t>
        </is>
      </c>
    </row>
    <row r="4">
      <c r="A4" s="7" t="inlineStr">
        <is>
          <t>Plano da nova vs a cancelada</t>
        </is>
      </c>
    </row>
    <row r="5" ht="40" customHeight="1">
      <c r="A5" s="8" t="inlineStr"/>
      <c r="B5" s="9" t="inlineStr">
        <is>
          <t>Rápidas</t>
        </is>
      </c>
      <c r="C5" s="9" t="inlineStr">
        <is>
          <t>%</t>
        </is>
      </c>
      <c r="D5" s="9" t="inlineStr">
        <is>
          <t>Lentas</t>
        </is>
      </c>
      <c r="E5" s="9" t="inlineStr">
        <is>
          <t>%</t>
        </is>
      </c>
      <c r="F5" s="8" t="inlineStr">
        <is>
          <t>Todas</t>
        </is>
      </c>
      <c r="G5" s="8" t="inlineStr">
        <is>
          <t>%</t>
        </is>
      </c>
    </row>
    <row r="6">
      <c r="A6" s="12" t="inlineStr">
        <is>
          <t>Mesmo plano</t>
        </is>
      </c>
      <c r="B6" s="13">
        <f>COUNTIFS(Lista_266!$N$2:$N$267,"Troca/ajuste",Lista_266!$T$2:$T$267,A6,Lista_266!$C$2:$C$267,"Rápida (&lt; 30 dias)")</f>
        <v/>
      </c>
      <c r="C6" s="14">
        <f>B6/SUM(B$6:B$8)</f>
        <v/>
      </c>
      <c r="D6" s="13">
        <f>COUNTIFS(Lista_266!$N$2:$N$267,"Troca/ajuste",Lista_266!$T$2:$T$267,A6,Lista_266!$C$2:$C$267,"Lenta (30+ dias)")</f>
        <v/>
      </c>
      <c r="E6" s="14">
        <f>D6/SUM(D$6:D$8)</f>
        <v/>
      </c>
      <c r="F6" s="13">
        <f>B6+D6</f>
        <v/>
      </c>
      <c r="G6" s="14">
        <f>F6/SUM(F$6:F$8)</f>
        <v/>
      </c>
    </row>
    <row r="7">
      <c r="A7" s="12" t="inlineStr">
        <is>
          <t>Plano acima</t>
        </is>
      </c>
      <c r="B7" s="13">
        <f>COUNTIFS(Lista_266!$N$2:$N$267,"Troca/ajuste",Lista_266!$T$2:$T$267,A7,Lista_266!$C$2:$C$267,"Rápida (&lt; 30 dias)")</f>
        <v/>
      </c>
      <c r="C7" s="14">
        <f>B7/SUM(B$6:B$8)</f>
        <v/>
      </c>
      <c r="D7" s="13">
        <f>COUNTIFS(Lista_266!$N$2:$N$267,"Troca/ajuste",Lista_266!$T$2:$T$267,A7,Lista_266!$C$2:$C$267,"Lenta (30+ dias)")</f>
        <v/>
      </c>
      <c r="E7" s="14">
        <f>D7/SUM(D$6:D$8)</f>
        <v/>
      </c>
      <c r="F7" s="13">
        <f>B7+D7</f>
        <v/>
      </c>
      <c r="G7" s="14">
        <f>F7/SUM(F$6:F$8)</f>
        <v/>
      </c>
    </row>
    <row r="8">
      <c r="A8" s="12" t="inlineStr">
        <is>
          <t>Plano abaixo</t>
        </is>
      </c>
      <c r="B8" s="13">
        <f>COUNTIFS(Lista_266!$N$2:$N$267,"Troca/ajuste",Lista_266!$T$2:$T$267,A8,Lista_266!$C$2:$C$267,"Rápida (&lt; 30 dias)")</f>
        <v/>
      </c>
      <c r="C8" s="14">
        <f>B8/SUM(B$6:B$8)</f>
        <v/>
      </c>
      <c r="D8" s="13">
        <f>COUNTIFS(Lista_266!$N$2:$N$267,"Troca/ajuste",Lista_266!$T$2:$T$267,A8,Lista_266!$C$2:$C$267,"Lenta (30+ dias)")</f>
        <v/>
      </c>
      <c r="E8" s="14">
        <f>D8/SUM(D$6:D$8)</f>
        <v/>
      </c>
      <c r="F8" s="13">
        <f>B8+D8</f>
        <v/>
      </c>
      <c r="G8" s="14">
        <f>F8/SUM(F$6:F$8)</f>
        <v/>
      </c>
    </row>
    <row r="10">
      <c r="A10" s="7" t="inlineStr">
        <is>
          <t>Cobrança da nova vs a cancelada</t>
        </is>
      </c>
    </row>
    <row r="11" ht="40" customHeight="1">
      <c r="A11" s="8" t="inlineStr"/>
      <c r="B11" s="9" t="inlineStr">
        <is>
          <t>Rápidas</t>
        </is>
      </c>
      <c r="C11" s="9" t="inlineStr">
        <is>
          <t>%</t>
        </is>
      </c>
      <c r="D11" s="9" t="inlineStr">
        <is>
          <t>Lentas</t>
        </is>
      </c>
      <c r="E11" s="9" t="inlineStr">
        <is>
          <t>%</t>
        </is>
      </c>
      <c r="F11" s="8" t="inlineStr">
        <is>
          <t>Todas</t>
        </is>
      </c>
      <c r="G11" s="8" t="inlineStr">
        <is>
          <t>%</t>
        </is>
      </c>
    </row>
    <row r="12">
      <c r="A12" s="12" t="inlineStr">
        <is>
          <t>Mesma cobrança</t>
        </is>
      </c>
      <c r="B12" s="13">
        <f>COUNTIFS(Lista_266!$N$2:$N$267,"Troca/ajuste",Lista_266!$U$2:$U$267,A12,Lista_266!$C$2:$C$267,"Rápida (&lt; 30 dias)")</f>
        <v/>
      </c>
      <c r="C12" s="14">
        <f>B12/SUM(B$12:B$14)</f>
        <v/>
      </c>
      <c r="D12" s="13">
        <f>COUNTIFS(Lista_266!$N$2:$N$267,"Troca/ajuste",Lista_266!$U$2:$U$267,A12,Lista_266!$C$2:$C$267,"Lenta (30+ dias)")</f>
        <v/>
      </c>
      <c r="E12" s="14">
        <f>D12/SUM(D$12:D$14)</f>
        <v/>
      </c>
      <c r="F12" s="13">
        <f>B12+D12</f>
        <v/>
      </c>
      <c r="G12" s="14">
        <f>F12/SUM(F$12:F$14)</f>
        <v/>
      </c>
    </row>
    <row r="13">
      <c r="A13" s="12" t="inlineStr">
        <is>
          <t>Mudou para anual</t>
        </is>
      </c>
      <c r="B13" s="13">
        <f>COUNTIFS(Lista_266!$N$2:$N$267,"Troca/ajuste",Lista_266!$U$2:$U$267,A13,Lista_266!$C$2:$C$267,"Rápida (&lt; 30 dias)")</f>
        <v/>
      </c>
      <c r="C13" s="14">
        <f>B13/SUM(B$12:B$14)</f>
        <v/>
      </c>
      <c r="D13" s="13">
        <f>COUNTIFS(Lista_266!$N$2:$N$267,"Troca/ajuste",Lista_266!$U$2:$U$267,A13,Lista_266!$C$2:$C$267,"Lenta (30+ dias)")</f>
        <v/>
      </c>
      <c r="E13" s="14">
        <f>D13/SUM(D$12:D$14)</f>
        <v/>
      </c>
      <c r="F13" s="13">
        <f>B13+D13</f>
        <v/>
      </c>
      <c r="G13" s="14">
        <f>F13/SUM(F$12:F$14)</f>
        <v/>
      </c>
    </row>
    <row r="14">
      <c r="A14" s="12" t="inlineStr">
        <is>
          <t>Mudou para mensal</t>
        </is>
      </c>
      <c r="B14" s="13">
        <f>COUNTIFS(Lista_266!$N$2:$N$267,"Troca/ajuste",Lista_266!$U$2:$U$267,A14,Lista_266!$C$2:$C$267,"Rápida (&lt; 30 dias)")</f>
        <v/>
      </c>
      <c r="C14" s="14">
        <f>B14/SUM(B$12:B$14)</f>
        <v/>
      </c>
      <c r="D14" s="13">
        <f>COUNTIFS(Lista_266!$N$2:$N$267,"Troca/ajuste",Lista_266!$U$2:$U$267,A14,Lista_266!$C$2:$C$267,"Lenta (30+ dias)")</f>
        <v/>
      </c>
      <c r="E14" s="14">
        <f>D14/SUM(D$12:D$14)</f>
        <v/>
      </c>
      <c r="F14" s="13">
        <f>B14+D14</f>
        <v/>
      </c>
      <c r="G14" s="14">
        <f>F14/SUM(F$12:F$14)</f>
        <v/>
      </c>
    </row>
    <row r="16">
      <c r="A16" s="7" t="inlineStr">
        <is>
          <t>Seats da nova vs a cancelada</t>
        </is>
      </c>
    </row>
    <row r="17" ht="40" customHeight="1">
      <c r="A17" s="8" t="inlineStr"/>
      <c r="B17" s="9" t="inlineStr">
        <is>
          <t>Rápidas</t>
        </is>
      </c>
      <c r="C17" s="9" t="inlineStr">
        <is>
          <t>%</t>
        </is>
      </c>
      <c r="D17" s="9" t="inlineStr">
        <is>
          <t>Lentas</t>
        </is>
      </c>
      <c r="E17" s="9" t="inlineStr">
        <is>
          <t>%</t>
        </is>
      </c>
      <c r="F17" s="8" t="inlineStr">
        <is>
          <t>Todas</t>
        </is>
      </c>
      <c r="G17" s="8" t="inlineStr">
        <is>
          <t>%</t>
        </is>
      </c>
    </row>
    <row r="18">
      <c r="A18" s="12" t="inlineStr">
        <is>
          <t>Mesmos seats</t>
        </is>
      </c>
      <c r="B18" s="13">
        <f>COUNTIFS(Lista_266!$N$2:$N$267,"Troca/ajuste",Lista_266!$V$2:$V$267,A18,Lista_266!$C$2:$C$267,"Rápida (&lt; 30 dias)")</f>
        <v/>
      </c>
      <c r="C18" s="14">
        <f>B18/SUM(B$18:B$20)</f>
        <v/>
      </c>
      <c r="D18" s="13">
        <f>COUNTIFS(Lista_266!$N$2:$N$267,"Troca/ajuste",Lista_266!$V$2:$V$267,A18,Lista_266!$C$2:$C$267,"Lenta (30+ dias)")</f>
        <v/>
      </c>
      <c r="E18" s="14">
        <f>D18/SUM(D$18:D$20)</f>
        <v/>
      </c>
      <c r="F18" s="13">
        <f>B18+D18</f>
        <v/>
      </c>
      <c r="G18" s="14">
        <f>F18/SUM(F$18:F$20)</f>
        <v/>
      </c>
    </row>
    <row r="19">
      <c r="A19" s="12" t="inlineStr">
        <is>
          <t>Mais seats</t>
        </is>
      </c>
      <c r="B19" s="13">
        <f>COUNTIFS(Lista_266!$N$2:$N$267,"Troca/ajuste",Lista_266!$V$2:$V$267,A19,Lista_266!$C$2:$C$267,"Rápida (&lt; 30 dias)")</f>
        <v/>
      </c>
      <c r="C19" s="14">
        <f>B19/SUM(B$18:B$20)</f>
        <v/>
      </c>
      <c r="D19" s="13">
        <f>COUNTIFS(Lista_266!$N$2:$N$267,"Troca/ajuste",Lista_266!$V$2:$V$267,A19,Lista_266!$C$2:$C$267,"Lenta (30+ dias)")</f>
        <v/>
      </c>
      <c r="E19" s="14">
        <f>D19/SUM(D$18:D$20)</f>
        <v/>
      </c>
      <c r="F19" s="13">
        <f>B19+D19</f>
        <v/>
      </c>
      <c r="G19" s="14">
        <f>F19/SUM(F$18:F$20)</f>
        <v/>
      </c>
    </row>
    <row r="20">
      <c r="A20" s="12" t="inlineStr">
        <is>
          <t>Menos seats</t>
        </is>
      </c>
      <c r="B20" s="13">
        <f>COUNTIFS(Lista_266!$N$2:$N$267,"Troca/ajuste",Lista_266!$V$2:$V$267,A20,Lista_266!$C$2:$C$267,"Rápida (&lt; 30 dias)")</f>
        <v/>
      </c>
      <c r="C20" s="14">
        <f>B20/SUM(B$18:B$20)</f>
        <v/>
      </c>
      <c r="D20" s="13">
        <f>COUNTIFS(Lista_266!$N$2:$N$267,"Troca/ajuste",Lista_266!$V$2:$V$267,A20,Lista_266!$C$2:$C$267,"Lenta (30+ dias)")</f>
        <v/>
      </c>
      <c r="E20" s="14">
        <f>D20/SUM(D$18:D$20)</f>
        <v/>
      </c>
      <c r="F20" s="13">
        <f>B20+D20</f>
        <v/>
      </c>
      <c r="G20" s="14">
        <f>F20/SUM(F$18:F$20)</f>
        <v/>
      </c>
    </row>
    <row r="22">
      <c r="A22" s="17" t="inlineStr">
        <is>
          <t>Leitura: a troca não tem uma direção só. Há trocas para plano acima, abaixo e igual, e mudanças de cobrança e de seats para os dois lados: parece reconfiguração do contrato logo após a compra, não um movimento único (ex.: "todo mundo descendo de plano").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8" customWidth="1" min="4" max="4"/>
    <col width="11" customWidth="1" min="5" max="5"/>
    <col width="8" customWidth="1" min="6" max="6"/>
    <col width="11" customWidth="1" min="7" max="7"/>
    <col width="8" customWidth="1" min="8" max="8"/>
  </cols>
  <sheetData>
    <row r="1">
      <c r="A1" s="5" t="inlineStr">
        <is>
          <t>Tipo de cancelamento por plano, cobrança, seats e país</t>
        </is>
      </c>
    </row>
    <row r="2">
      <c r="A2" s="17" t="inlineStr">
        <is>
          <t>Janela de 7 dias. Contagens por fórmula sobre Lista_266.</t>
        </is>
      </c>
    </row>
    <row r="4">
      <c r="A4" s="7" t="inlineStr">
        <is>
          <t>Plano da assinatura cancelada</t>
        </is>
      </c>
    </row>
    <row r="5" ht="40" customHeight="1">
      <c r="A5" s="8" t="inlineStr">
        <is>
          <t>Plano</t>
        </is>
      </c>
      <c r="B5" s="8" t="inlineStr">
        <is>
          <t>Encerradas</t>
        </is>
      </c>
      <c r="C5" s="9" t="inlineStr">
        <is>
          <t>Troca/ajuste</t>
        </is>
      </c>
      <c r="D5" s="9" t="inlineStr">
        <is>
          <t>%</t>
        </is>
      </c>
      <c r="E5" s="10" t="inlineStr">
        <is>
          <t>Redução</t>
        </is>
      </c>
      <c r="F5" s="10" t="inlineStr">
        <is>
          <t>%</t>
        </is>
      </c>
      <c r="G5" s="11" t="inlineStr">
        <is>
          <t>Saída do cliente</t>
        </is>
      </c>
      <c r="H5" s="11" t="inlineStr">
        <is>
          <t>%</t>
        </is>
      </c>
    </row>
    <row r="6">
      <c r="A6" s="12" t="inlineStr">
        <is>
          <t>Basic</t>
        </is>
      </c>
      <c r="B6" s="13">
        <f>COUNTIFS(Lista_266!$I$2:$I$267,"Basic")</f>
        <v/>
      </c>
      <c r="C6" s="13">
        <f>COUNTIFS(Lista_266!$N$2:$N$267,"Troca/ajuste",Lista_266!$I$2:$I$267,"Basic")</f>
        <v/>
      </c>
      <c r="D6" s="14">
        <f>IF($B6&gt;0,C6/$B6,"")</f>
        <v/>
      </c>
      <c r="E6" s="13">
        <f>COUNTIFS(Lista_266!$N$2:$N$267,"Redução",Lista_266!$I$2:$I$267,"Basic")</f>
        <v/>
      </c>
      <c r="F6" s="14">
        <f>IF($B6&gt;0,E6/$B6,"")</f>
        <v/>
      </c>
      <c r="G6" s="13">
        <f>COUNTIFS(Lista_266!$N$2:$N$267,"Saída do cliente",Lista_266!$I$2:$I$267,"Basic")</f>
        <v/>
      </c>
      <c r="H6" s="14">
        <f>IF($B6&gt;0,G6/$B6,"")</f>
        <v/>
      </c>
    </row>
    <row r="7">
      <c r="A7" s="12" t="inlineStr">
        <is>
          <t>Pro</t>
        </is>
      </c>
      <c r="B7" s="13">
        <f>COUNTIFS(Lista_266!$I$2:$I$267,"Pro")</f>
        <v/>
      </c>
      <c r="C7" s="13">
        <f>COUNTIFS(Lista_266!$N$2:$N$267,"Troca/ajuste",Lista_266!$I$2:$I$267,"Pro")</f>
        <v/>
      </c>
      <c r="D7" s="14">
        <f>IF($B7&gt;0,C7/$B7,"")</f>
        <v/>
      </c>
      <c r="E7" s="13">
        <f>COUNTIFS(Lista_266!$N$2:$N$267,"Redução",Lista_266!$I$2:$I$267,"Pro")</f>
        <v/>
      </c>
      <c r="F7" s="14">
        <f>IF($B7&gt;0,E7/$B7,"")</f>
        <v/>
      </c>
      <c r="G7" s="13">
        <f>COUNTIFS(Lista_266!$N$2:$N$267,"Saída do cliente",Lista_266!$I$2:$I$267,"Pro")</f>
        <v/>
      </c>
      <c r="H7" s="14">
        <f>IF($B7&gt;0,G7/$B7,"")</f>
        <v/>
      </c>
    </row>
    <row r="8">
      <c r="A8" s="12" t="inlineStr">
        <is>
          <t>Enterprise</t>
        </is>
      </c>
      <c r="B8" s="13">
        <f>COUNTIFS(Lista_266!$I$2:$I$267,"Enterprise")</f>
        <v/>
      </c>
      <c r="C8" s="13">
        <f>COUNTIFS(Lista_266!$N$2:$N$267,"Troca/ajuste",Lista_266!$I$2:$I$267,"Enterprise")</f>
        <v/>
      </c>
      <c r="D8" s="14">
        <f>IF($B8&gt;0,C8/$B8,"")</f>
        <v/>
      </c>
      <c r="E8" s="13">
        <f>COUNTIFS(Lista_266!$N$2:$N$267,"Redução",Lista_266!$I$2:$I$267,"Enterprise")</f>
        <v/>
      </c>
      <c r="F8" s="14">
        <f>IF($B8&gt;0,E8/$B8,"")</f>
        <v/>
      </c>
      <c r="G8" s="13">
        <f>COUNTIFS(Lista_266!$N$2:$N$267,"Saída do cliente",Lista_266!$I$2:$I$267,"Enterprise")</f>
        <v/>
      </c>
      <c r="H8" s="14">
        <f>IF($B8&gt;0,G8/$B8,"")</f>
        <v/>
      </c>
    </row>
    <row r="10">
      <c r="A10" s="7" t="inlineStr">
        <is>
          <t>Cobrança</t>
        </is>
      </c>
    </row>
    <row r="11" ht="40" customHeight="1">
      <c r="A11" s="8" t="inlineStr">
        <is>
          <t>Cobrança</t>
        </is>
      </c>
      <c r="B11" s="8" t="inlineStr">
        <is>
          <t>Encerradas</t>
        </is>
      </c>
      <c r="C11" s="9" t="inlineStr">
        <is>
          <t>Troca/ajuste</t>
        </is>
      </c>
      <c r="D11" s="9" t="inlineStr">
        <is>
          <t>%</t>
        </is>
      </c>
      <c r="E11" s="10" t="inlineStr">
        <is>
          <t>Redução</t>
        </is>
      </c>
      <c r="F11" s="10" t="inlineStr">
        <is>
          <t>%</t>
        </is>
      </c>
      <c r="G11" s="11" t="inlineStr">
        <is>
          <t>Saída do cliente</t>
        </is>
      </c>
      <c r="H11" s="11" t="inlineStr">
        <is>
          <t>%</t>
        </is>
      </c>
    </row>
    <row r="12">
      <c r="A12" s="12" t="inlineStr">
        <is>
          <t>Anual</t>
        </is>
      </c>
      <c r="B12" s="13">
        <f>COUNTIFS(Lista_266!$J$2:$J$267,"Anual")</f>
        <v/>
      </c>
      <c r="C12" s="13">
        <f>COUNTIFS(Lista_266!$N$2:$N$267,"Troca/ajuste",Lista_266!$J$2:$J$267,"Anual")</f>
        <v/>
      </c>
      <c r="D12" s="14">
        <f>IF($B12&gt;0,C12/$B12,"")</f>
        <v/>
      </c>
      <c r="E12" s="13">
        <f>COUNTIFS(Lista_266!$N$2:$N$267,"Redução",Lista_266!$J$2:$J$267,"Anual")</f>
        <v/>
      </c>
      <c r="F12" s="14">
        <f>IF($B12&gt;0,E12/$B12,"")</f>
        <v/>
      </c>
      <c r="G12" s="13">
        <f>COUNTIFS(Lista_266!$N$2:$N$267,"Saída do cliente",Lista_266!$J$2:$J$267,"Anual")</f>
        <v/>
      </c>
      <c r="H12" s="14">
        <f>IF($B12&gt;0,G12/$B12,"")</f>
        <v/>
      </c>
    </row>
    <row r="13">
      <c r="A13" s="12" t="inlineStr">
        <is>
          <t>Mensal</t>
        </is>
      </c>
      <c r="B13" s="13">
        <f>COUNTIFS(Lista_266!$J$2:$J$267,"Mensal")</f>
        <v/>
      </c>
      <c r="C13" s="13">
        <f>COUNTIFS(Lista_266!$N$2:$N$267,"Troca/ajuste",Lista_266!$J$2:$J$267,"Mensal")</f>
        <v/>
      </c>
      <c r="D13" s="14">
        <f>IF($B13&gt;0,C13/$B13,"")</f>
        <v/>
      </c>
      <c r="E13" s="13">
        <f>COUNTIFS(Lista_266!$N$2:$N$267,"Redução",Lista_266!$J$2:$J$267,"Mensal")</f>
        <v/>
      </c>
      <c r="F13" s="14">
        <f>IF($B13&gt;0,E13/$B13,"")</f>
        <v/>
      </c>
      <c r="G13" s="13">
        <f>COUNTIFS(Lista_266!$N$2:$N$267,"Saída do cliente",Lista_266!$J$2:$J$267,"Mensal")</f>
        <v/>
      </c>
      <c r="H13" s="14">
        <f>IF($B13&gt;0,G13/$B13,"")</f>
        <v/>
      </c>
    </row>
    <row r="15">
      <c r="A15" s="7" t="inlineStr">
        <is>
          <t>Faixa de seats</t>
        </is>
      </c>
    </row>
    <row r="16" ht="40" customHeight="1">
      <c r="A16" s="8" t="inlineStr">
        <is>
          <t>Seats</t>
        </is>
      </c>
      <c r="B16" s="8" t="inlineStr">
        <is>
          <t>Encerradas</t>
        </is>
      </c>
      <c r="C16" s="9" t="inlineStr">
        <is>
          <t>Troca/ajuste</t>
        </is>
      </c>
      <c r="D16" s="9" t="inlineStr">
        <is>
          <t>%</t>
        </is>
      </c>
      <c r="E16" s="10" t="inlineStr">
        <is>
          <t>Redução</t>
        </is>
      </c>
      <c r="F16" s="10" t="inlineStr">
        <is>
          <t>%</t>
        </is>
      </c>
      <c r="G16" s="11" t="inlineStr">
        <is>
          <t>Saída do cliente</t>
        </is>
      </c>
      <c r="H16" s="11" t="inlineStr">
        <is>
          <t>%</t>
        </is>
      </c>
    </row>
    <row r="17">
      <c r="A17" s="12" t="inlineStr">
        <is>
          <t>01–05</t>
        </is>
      </c>
      <c r="B17" s="13">
        <f>COUNTIFS(Lista_266!$L$2:$L$267,"01–05")</f>
        <v/>
      </c>
      <c r="C17" s="13">
        <f>COUNTIFS(Lista_266!$N$2:$N$267,"Troca/ajuste",Lista_266!$L$2:$L$267,"01–05")</f>
        <v/>
      </c>
      <c r="D17" s="14">
        <f>IF($B17&gt;0,C17/$B17,"")</f>
        <v/>
      </c>
      <c r="E17" s="13">
        <f>COUNTIFS(Lista_266!$N$2:$N$267,"Redução",Lista_266!$L$2:$L$267,"01–05")</f>
        <v/>
      </c>
      <c r="F17" s="14">
        <f>IF($B17&gt;0,E17/$B17,"")</f>
        <v/>
      </c>
      <c r="G17" s="13">
        <f>COUNTIFS(Lista_266!$N$2:$N$267,"Saída do cliente",Lista_266!$L$2:$L$267,"01–05")</f>
        <v/>
      </c>
      <c r="H17" s="14">
        <f>IF($B17&gt;0,G17/$B17,"")</f>
        <v/>
      </c>
    </row>
    <row r="18">
      <c r="A18" s="12" t="inlineStr">
        <is>
          <t>06–10</t>
        </is>
      </c>
      <c r="B18" s="13">
        <f>COUNTIFS(Lista_266!$L$2:$L$267,"06–10")</f>
        <v/>
      </c>
      <c r="C18" s="13">
        <f>COUNTIFS(Lista_266!$N$2:$N$267,"Troca/ajuste",Lista_266!$L$2:$L$267,"06–10")</f>
        <v/>
      </c>
      <c r="D18" s="14">
        <f>IF($B18&gt;0,C18/$B18,"")</f>
        <v/>
      </c>
      <c r="E18" s="13">
        <f>COUNTIFS(Lista_266!$N$2:$N$267,"Redução",Lista_266!$L$2:$L$267,"06–10")</f>
        <v/>
      </c>
      <c r="F18" s="14">
        <f>IF($B18&gt;0,E18/$B18,"")</f>
        <v/>
      </c>
      <c r="G18" s="13">
        <f>COUNTIFS(Lista_266!$N$2:$N$267,"Saída do cliente",Lista_266!$L$2:$L$267,"06–10")</f>
        <v/>
      </c>
      <c r="H18" s="14">
        <f>IF($B18&gt;0,G18/$B18,"")</f>
        <v/>
      </c>
    </row>
    <row r="19">
      <c r="A19" s="12" t="inlineStr">
        <is>
          <t>11–20</t>
        </is>
      </c>
      <c r="B19" s="13">
        <f>COUNTIFS(Lista_266!$L$2:$L$267,"11–20")</f>
        <v/>
      </c>
      <c r="C19" s="13">
        <f>COUNTIFS(Lista_266!$N$2:$N$267,"Troca/ajuste",Lista_266!$L$2:$L$267,"11–20")</f>
        <v/>
      </c>
      <c r="D19" s="14">
        <f>IF($B19&gt;0,C19/$B19,"")</f>
        <v/>
      </c>
      <c r="E19" s="13">
        <f>COUNTIFS(Lista_266!$N$2:$N$267,"Redução",Lista_266!$L$2:$L$267,"11–20")</f>
        <v/>
      </c>
      <c r="F19" s="14">
        <f>IF($B19&gt;0,E19/$B19,"")</f>
        <v/>
      </c>
      <c r="G19" s="13">
        <f>COUNTIFS(Lista_266!$N$2:$N$267,"Saída do cliente",Lista_266!$L$2:$L$267,"11–20")</f>
        <v/>
      </c>
      <c r="H19" s="14">
        <f>IF($B19&gt;0,G19/$B19,"")</f>
        <v/>
      </c>
    </row>
    <row r="20">
      <c r="A20" s="12" t="inlineStr">
        <is>
          <t>21–40</t>
        </is>
      </c>
      <c r="B20" s="13">
        <f>COUNTIFS(Lista_266!$L$2:$L$267,"21–40")</f>
        <v/>
      </c>
      <c r="C20" s="13">
        <f>COUNTIFS(Lista_266!$N$2:$N$267,"Troca/ajuste",Lista_266!$L$2:$L$267,"21–40")</f>
        <v/>
      </c>
      <c r="D20" s="14">
        <f>IF($B20&gt;0,C20/$B20,"")</f>
        <v/>
      </c>
      <c r="E20" s="13">
        <f>COUNTIFS(Lista_266!$N$2:$N$267,"Redução",Lista_266!$L$2:$L$267,"21–40")</f>
        <v/>
      </c>
      <c r="F20" s="14">
        <f>IF($B20&gt;0,E20/$B20,"")</f>
        <v/>
      </c>
      <c r="G20" s="13">
        <f>COUNTIFS(Lista_266!$N$2:$N$267,"Saída do cliente",Lista_266!$L$2:$L$267,"21–40")</f>
        <v/>
      </c>
      <c r="H20" s="14">
        <f>IF($B20&gt;0,G20/$B20,"")</f>
        <v/>
      </c>
    </row>
    <row r="21">
      <c r="A21" s="12" t="inlineStr">
        <is>
          <t>41–80</t>
        </is>
      </c>
      <c r="B21" s="13">
        <f>COUNTIFS(Lista_266!$L$2:$L$267,"41–80")</f>
        <v/>
      </c>
      <c r="C21" s="13">
        <f>COUNTIFS(Lista_266!$N$2:$N$267,"Troca/ajuste",Lista_266!$L$2:$L$267,"41–80")</f>
        <v/>
      </c>
      <c r="D21" s="14">
        <f>IF($B21&gt;0,C21/$B21,"")</f>
        <v/>
      </c>
      <c r="E21" s="13">
        <f>COUNTIFS(Lista_266!$N$2:$N$267,"Redução",Lista_266!$L$2:$L$267,"41–80")</f>
        <v/>
      </c>
      <c r="F21" s="14">
        <f>IF($B21&gt;0,E21/$B21,"")</f>
        <v/>
      </c>
      <c r="G21" s="13">
        <f>COUNTIFS(Lista_266!$N$2:$N$267,"Saída do cliente",Lista_266!$L$2:$L$267,"41–80")</f>
        <v/>
      </c>
      <c r="H21" s="14">
        <f>IF($B21&gt;0,G21/$B21,"")</f>
        <v/>
      </c>
    </row>
    <row r="22">
      <c r="A22" s="12" t="inlineStr">
        <is>
          <t>81 ou mais</t>
        </is>
      </c>
      <c r="B22" s="13">
        <f>COUNTIFS(Lista_266!$L$2:$L$267,"81 ou mais")</f>
        <v/>
      </c>
      <c r="C22" s="13">
        <f>COUNTIFS(Lista_266!$N$2:$N$267,"Troca/ajuste",Lista_266!$L$2:$L$267,"81 ou mais")</f>
        <v/>
      </c>
      <c r="D22" s="14">
        <f>IF($B22&gt;0,C22/$B22,"")</f>
        <v/>
      </c>
      <c r="E22" s="13">
        <f>COUNTIFS(Lista_266!$N$2:$N$267,"Redução",Lista_266!$L$2:$L$267,"81 ou mais")</f>
        <v/>
      </c>
      <c r="F22" s="14">
        <f>IF($B22&gt;0,E22/$B22,"")</f>
        <v/>
      </c>
      <c r="G22" s="13">
        <f>COUNTIFS(Lista_266!$N$2:$N$267,"Saída do cliente",Lista_266!$L$2:$L$267,"81 ou mais")</f>
        <v/>
      </c>
      <c r="H22" s="14">
        <f>IF($B22&gt;0,G22/$B22,"")</f>
        <v/>
      </c>
    </row>
    <row r="24">
      <c r="A24" s="7" t="inlineStr">
        <is>
          <t>País</t>
        </is>
      </c>
    </row>
    <row r="25" ht="40" customHeight="1">
      <c r="A25" s="8" t="inlineStr">
        <is>
          <t>País</t>
        </is>
      </c>
      <c r="B25" s="8" t="inlineStr">
        <is>
          <t>Encerradas</t>
        </is>
      </c>
      <c r="C25" s="9" t="inlineStr">
        <is>
          <t>Troca/ajuste</t>
        </is>
      </c>
      <c r="D25" s="9" t="inlineStr">
        <is>
          <t>%</t>
        </is>
      </c>
      <c r="E25" s="10" t="inlineStr">
        <is>
          <t>Redução</t>
        </is>
      </c>
      <c r="F25" s="10" t="inlineStr">
        <is>
          <t>%</t>
        </is>
      </c>
      <c r="G25" s="11" t="inlineStr">
        <is>
          <t>Saída do cliente</t>
        </is>
      </c>
      <c r="H25" s="11" t="inlineStr">
        <is>
          <t>%</t>
        </is>
      </c>
    </row>
    <row r="26">
      <c r="A26" s="12" t="inlineStr">
        <is>
          <t>AU</t>
        </is>
      </c>
      <c r="B26" s="13">
        <f>COUNTIFS(Lista_266!$M$2:$M$267,"AU")</f>
        <v/>
      </c>
      <c r="C26" s="13">
        <f>COUNTIFS(Lista_266!$N$2:$N$267,"Troca/ajuste",Lista_266!$M$2:$M$267,"AU")</f>
        <v/>
      </c>
      <c r="D26" s="14">
        <f>IF($B26&gt;0,C26/$B26,"")</f>
        <v/>
      </c>
      <c r="E26" s="13">
        <f>COUNTIFS(Lista_266!$N$2:$N$267,"Redução",Lista_266!$M$2:$M$267,"AU")</f>
        <v/>
      </c>
      <c r="F26" s="14">
        <f>IF($B26&gt;0,E26/$B26,"")</f>
        <v/>
      </c>
      <c r="G26" s="13">
        <f>COUNTIFS(Lista_266!$N$2:$N$267,"Saída do cliente",Lista_266!$M$2:$M$267,"AU")</f>
        <v/>
      </c>
      <c r="H26" s="14">
        <f>IF($B26&gt;0,G26/$B26,"")</f>
        <v/>
      </c>
    </row>
    <row r="27">
      <c r="A27" s="12" t="inlineStr">
        <is>
          <t>CA</t>
        </is>
      </c>
      <c r="B27" s="13">
        <f>COUNTIFS(Lista_266!$M$2:$M$267,"CA")</f>
        <v/>
      </c>
      <c r="C27" s="13">
        <f>COUNTIFS(Lista_266!$N$2:$N$267,"Troca/ajuste",Lista_266!$M$2:$M$267,"CA")</f>
        <v/>
      </c>
      <c r="D27" s="14">
        <f>IF($B27&gt;0,C27/$B27,"")</f>
        <v/>
      </c>
      <c r="E27" s="13">
        <f>COUNTIFS(Lista_266!$N$2:$N$267,"Redução",Lista_266!$M$2:$M$267,"CA")</f>
        <v/>
      </c>
      <c r="F27" s="14">
        <f>IF($B27&gt;0,E27/$B27,"")</f>
        <v/>
      </c>
      <c r="G27" s="13">
        <f>COUNTIFS(Lista_266!$N$2:$N$267,"Saída do cliente",Lista_266!$M$2:$M$267,"CA")</f>
        <v/>
      </c>
      <c r="H27" s="14">
        <f>IF($B27&gt;0,G27/$B27,"")</f>
        <v/>
      </c>
    </row>
    <row r="28">
      <c r="A28" s="12" t="inlineStr">
        <is>
          <t>DE</t>
        </is>
      </c>
      <c r="B28" s="13">
        <f>COUNTIFS(Lista_266!$M$2:$M$267,"DE")</f>
        <v/>
      </c>
      <c r="C28" s="13">
        <f>COUNTIFS(Lista_266!$N$2:$N$267,"Troca/ajuste",Lista_266!$M$2:$M$267,"DE")</f>
        <v/>
      </c>
      <c r="D28" s="14">
        <f>IF($B28&gt;0,C28/$B28,"")</f>
        <v/>
      </c>
      <c r="E28" s="13">
        <f>COUNTIFS(Lista_266!$N$2:$N$267,"Redução",Lista_266!$M$2:$M$267,"DE")</f>
        <v/>
      </c>
      <c r="F28" s="14">
        <f>IF($B28&gt;0,E28/$B28,"")</f>
        <v/>
      </c>
      <c r="G28" s="13">
        <f>COUNTIFS(Lista_266!$N$2:$N$267,"Saída do cliente",Lista_266!$M$2:$M$267,"DE")</f>
        <v/>
      </c>
      <c r="H28" s="14">
        <f>IF($B28&gt;0,G28/$B28,"")</f>
        <v/>
      </c>
    </row>
    <row r="29">
      <c r="A29" s="12" t="inlineStr">
        <is>
          <t>FR</t>
        </is>
      </c>
      <c r="B29" s="13">
        <f>COUNTIFS(Lista_266!$M$2:$M$267,"FR")</f>
        <v/>
      </c>
      <c r="C29" s="13">
        <f>COUNTIFS(Lista_266!$N$2:$N$267,"Troca/ajuste",Lista_266!$M$2:$M$267,"FR")</f>
        <v/>
      </c>
      <c r="D29" s="14">
        <f>IF($B29&gt;0,C29/$B29,"")</f>
        <v/>
      </c>
      <c r="E29" s="13">
        <f>COUNTIFS(Lista_266!$N$2:$N$267,"Redução",Lista_266!$M$2:$M$267,"FR")</f>
        <v/>
      </c>
      <c r="F29" s="14">
        <f>IF($B29&gt;0,E29/$B29,"")</f>
        <v/>
      </c>
      <c r="G29" s="13">
        <f>COUNTIFS(Lista_266!$N$2:$N$267,"Saída do cliente",Lista_266!$M$2:$M$267,"FR")</f>
        <v/>
      </c>
      <c r="H29" s="14">
        <f>IF($B29&gt;0,G29/$B29,"")</f>
        <v/>
      </c>
    </row>
    <row r="30">
      <c r="A30" s="12" t="inlineStr">
        <is>
          <t>IN</t>
        </is>
      </c>
      <c r="B30" s="13">
        <f>COUNTIFS(Lista_266!$M$2:$M$267,"IN")</f>
        <v/>
      </c>
      <c r="C30" s="13">
        <f>COUNTIFS(Lista_266!$N$2:$N$267,"Troca/ajuste",Lista_266!$M$2:$M$267,"IN")</f>
        <v/>
      </c>
      <c r="D30" s="14">
        <f>IF($B30&gt;0,C30/$B30,"")</f>
        <v/>
      </c>
      <c r="E30" s="13">
        <f>COUNTIFS(Lista_266!$N$2:$N$267,"Redução",Lista_266!$M$2:$M$267,"IN")</f>
        <v/>
      </c>
      <c r="F30" s="14">
        <f>IF($B30&gt;0,E30/$B30,"")</f>
        <v/>
      </c>
      <c r="G30" s="13">
        <f>COUNTIFS(Lista_266!$N$2:$N$267,"Saída do cliente",Lista_266!$M$2:$M$267,"IN")</f>
        <v/>
      </c>
      <c r="H30" s="14">
        <f>IF($B30&gt;0,G30/$B30,"")</f>
        <v/>
      </c>
    </row>
    <row r="31">
      <c r="A31" s="12" t="inlineStr">
        <is>
          <t>UK</t>
        </is>
      </c>
      <c r="B31" s="13">
        <f>COUNTIFS(Lista_266!$M$2:$M$267,"UK")</f>
        <v/>
      </c>
      <c r="C31" s="13">
        <f>COUNTIFS(Lista_266!$N$2:$N$267,"Troca/ajuste",Lista_266!$M$2:$M$267,"UK")</f>
        <v/>
      </c>
      <c r="D31" s="14">
        <f>IF($B31&gt;0,C31/$B31,"")</f>
        <v/>
      </c>
      <c r="E31" s="13">
        <f>COUNTIFS(Lista_266!$N$2:$N$267,"Redução",Lista_266!$M$2:$M$267,"UK")</f>
        <v/>
      </c>
      <c r="F31" s="14">
        <f>IF($B31&gt;0,E31/$B31,"")</f>
        <v/>
      </c>
      <c r="G31" s="13">
        <f>COUNTIFS(Lista_266!$N$2:$N$267,"Saída do cliente",Lista_266!$M$2:$M$267,"UK")</f>
        <v/>
      </c>
      <c r="H31" s="14">
        <f>IF($B31&gt;0,G31/$B31,"")</f>
        <v/>
      </c>
    </row>
    <row r="32">
      <c r="A32" s="12" t="inlineStr">
        <is>
          <t>US</t>
        </is>
      </c>
      <c r="B32" s="13">
        <f>COUNTIFS(Lista_266!$M$2:$M$267,"US")</f>
        <v/>
      </c>
      <c r="C32" s="13">
        <f>COUNTIFS(Lista_266!$N$2:$N$267,"Troca/ajuste",Lista_266!$M$2:$M$267,"US")</f>
        <v/>
      </c>
      <c r="D32" s="14">
        <f>IF($B32&gt;0,C32/$B32,"")</f>
        <v/>
      </c>
      <c r="E32" s="13">
        <f>COUNTIFS(Lista_266!$N$2:$N$267,"Redução",Lista_266!$M$2:$M$267,"US")</f>
        <v/>
      </c>
      <c r="F32" s="14">
        <f>IF($B32&gt;0,E32/$B32,"")</f>
        <v/>
      </c>
      <c r="G32" s="13">
        <f>COUNTIFS(Lista_266!$N$2:$N$267,"Saída do cliente",Lista_266!$M$2:$M$267,"US")</f>
        <v/>
      </c>
      <c r="H32" s="14">
        <f>IF($B32&gt;0,G32/$B32,"")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8" customWidth="1" min="4" max="4"/>
    <col width="9" customWidth="1" min="5" max="5"/>
    <col width="10" customWidth="1" min="6" max="6"/>
    <col width="10" customWidth="1" min="7" max="7"/>
    <col width="7" customWidth="1" min="8" max="8"/>
    <col width="10" customWidth="1" min="9" max="9"/>
    <col width="8" customWidth="1" min="10" max="10"/>
    <col width="6" customWidth="1" min="11" max="11"/>
    <col width="9" customWidth="1" min="12" max="12"/>
    <col width="6" customWidth="1" min="13" max="13"/>
    <col width="14" customWidth="1" min="14" max="14"/>
    <col width="12" customWidth="1" min="15" max="15"/>
    <col width="12" customWidth="1" min="16" max="16"/>
    <col width="10" customWidth="1" min="17" max="17"/>
    <col width="26" customWidth="1" min="18" max="18"/>
    <col width="10" customWidth="1" min="19" max="19"/>
    <col width="12" customWidth="1" min="20" max="20"/>
    <col width="13" customWidth="1" min="21" max="21"/>
    <col width="12" customWidth="1" min="22" max="22"/>
    <col width="11" customWidth="1" min="23" max="23"/>
  </cols>
  <sheetData>
    <row r="1" ht="48" customHeight="1">
      <c r="A1" s="18" t="inlineStr">
        <is>
          <t>Assinatura</t>
        </is>
      </c>
      <c r="B1" s="18" t="inlineStr">
        <is>
          <t>Conta</t>
        </is>
      </c>
      <c r="C1" s="18" t="inlineStr">
        <is>
          <t>Velocidade</t>
        </is>
      </c>
      <c r="D1" s="18" t="inlineStr">
        <is>
          <t>Mês do fim</t>
        </is>
      </c>
      <c r="E1" s="18" t="inlineStr">
        <is>
          <t>Fim entre 29 e 31/12?</t>
        </is>
      </c>
      <c r="F1" s="18" t="inlineStr">
        <is>
          <t>Início</t>
        </is>
      </c>
      <c r="G1" s="18" t="inlineStr">
        <is>
          <t>Fim</t>
        </is>
      </c>
      <c r="H1" s="18" t="inlineStr">
        <is>
          <t>Dias de vida</t>
        </is>
      </c>
      <c r="I1" s="18" t="inlineStr">
        <is>
          <t>Plano</t>
        </is>
      </c>
      <c r="J1" s="18" t="inlineStr">
        <is>
          <t>Cobrança</t>
        </is>
      </c>
      <c r="K1" s="18" t="inlineStr">
        <is>
          <t>Seats</t>
        </is>
      </c>
      <c r="L1" s="18" t="inlineStr">
        <is>
          <t>Faixa de seats</t>
        </is>
      </c>
      <c r="M1" s="18" t="inlineStr">
        <is>
          <t>País</t>
        </is>
      </c>
      <c r="N1" s="19" t="inlineStr">
        <is>
          <t>TIPO (janela 7 dias)</t>
        </is>
      </c>
      <c r="O1" s="18" t="inlineStr">
        <is>
          <t>Tipo (janela 3 dias)</t>
        </is>
      </c>
      <c r="P1" s="18" t="inlineStr">
        <is>
          <t>Tipo (janela 14 dias)</t>
        </is>
      </c>
      <c r="Q1" s="18" t="inlineStr">
        <is>
          <t>Outras assinaturas ativas no dia do fim</t>
        </is>
      </c>
      <c r="R1" s="18" t="inlineStr">
        <is>
          <t>Assinaturas novas até 7 dias antes/depois</t>
        </is>
      </c>
      <c r="S1" s="18" t="inlineStr">
        <is>
          <t>Nova mais próxima</t>
        </is>
      </c>
      <c r="T1" s="18" t="inlineStr">
        <is>
          <t>Plano da nova vs cancelada</t>
        </is>
      </c>
      <c r="U1" s="18" t="inlineStr">
        <is>
          <t>Cobrança da nova vs cancelada</t>
        </is>
      </c>
      <c r="V1" s="18" t="inlineStr">
        <is>
          <t>Seats da nova vs cancelada</t>
        </is>
      </c>
      <c r="W1" s="18" t="inlineStr">
        <is>
          <t>Conta tem evento de churn em nov/dez?</t>
        </is>
      </c>
    </row>
    <row r="2">
      <c r="A2" s="20" t="inlineStr">
        <is>
          <t>S-8b9deb</t>
        </is>
      </c>
      <c r="B2" s="20" t="inlineStr">
        <is>
          <t>A-6c093d</t>
        </is>
      </c>
      <c r="C2" s="20" t="inlineStr">
        <is>
          <t>Lenta (30+ dias)</t>
        </is>
      </c>
      <c r="D2" s="20" t="inlineStr">
        <is>
          <t>Nov/24</t>
        </is>
      </c>
      <c r="E2" s="20" t="inlineStr">
        <is>
          <t>Não</t>
        </is>
      </c>
      <c r="F2" s="21" t="n">
        <v>45547</v>
      </c>
      <c r="G2" s="21" t="n">
        <v>45597</v>
      </c>
      <c r="H2" s="20" t="n">
        <v>50</v>
      </c>
      <c r="I2" s="20" t="inlineStr">
        <is>
          <t>Pro</t>
        </is>
      </c>
      <c r="J2" s="20" t="inlineStr">
        <is>
          <t>Mensal</t>
        </is>
      </c>
      <c r="K2" s="20" t="n">
        <v>7</v>
      </c>
      <c r="L2" s="20" t="inlineStr">
        <is>
          <t>06–10</t>
        </is>
      </c>
      <c r="M2" s="20" t="inlineStr">
        <is>
          <t>US</t>
        </is>
      </c>
      <c r="N2" s="20" t="inlineStr">
        <is>
          <t>Redução</t>
        </is>
      </c>
      <c r="O2" s="20" t="inlineStr">
        <is>
          <t>Redução</t>
        </is>
      </c>
      <c r="P2" s="20" t="inlineStr">
        <is>
          <t>Redução</t>
        </is>
      </c>
      <c r="Q2" s="20" t="n">
        <v>8</v>
      </c>
      <c r="R2" s="20" t="inlineStr"/>
      <c r="S2" s="20" t="inlineStr"/>
      <c r="T2" s="20" t="inlineStr"/>
      <c r="U2" s="20" t="inlineStr"/>
      <c r="V2" s="20" t="inlineStr"/>
      <c r="W2" s="20" t="inlineStr">
        <is>
          <t>Não</t>
        </is>
      </c>
    </row>
    <row r="3">
      <c r="A3" s="20" t="inlineStr">
        <is>
          <t>S-2178f0</t>
        </is>
      </c>
      <c r="B3" s="20" t="inlineStr">
        <is>
          <t>A-b30291</t>
        </is>
      </c>
      <c r="C3" s="20" t="inlineStr">
        <is>
          <t>Lenta (30+ dias)</t>
        </is>
      </c>
      <c r="D3" s="20" t="inlineStr">
        <is>
          <t>Nov/24</t>
        </is>
      </c>
      <c r="E3" s="20" t="inlineStr">
        <is>
          <t>Não</t>
        </is>
      </c>
      <c r="F3" s="21" t="n">
        <v>45561</v>
      </c>
      <c r="G3" s="21" t="n">
        <v>45598</v>
      </c>
      <c r="H3" s="20" t="n">
        <v>37</v>
      </c>
      <c r="I3" s="20" t="inlineStr">
        <is>
          <t>Basic</t>
        </is>
      </c>
      <c r="J3" s="20" t="inlineStr">
        <is>
          <t>Mensal</t>
        </is>
      </c>
      <c r="K3" s="20" t="n">
        <v>5</v>
      </c>
      <c r="L3" s="20" t="inlineStr">
        <is>
          <t>01–05</t>
        </is>
      </c>
      <c r="M3" s="20" t="inlineStr">
        <is>
          <t>US</t>
        </is>
      </c>
      <c r="N3" s="20" t="inlineStr">
        <is>
          <t>Redução</t>
        </is>
      </c>
      <c r="O3" s="20" t="inlineStr">
        <is>
          <t>Redução</t>
        </is>
      </c>
      <c r="P3" s="20" t="inlineStr">
        <is>
          <t>Troca/ajuste</t>
        </is>
      </c>
      <c r="Q3" s="20" t="n">
        <v>8</v>
      </c>
      <c r="R3" s="20" t="inlineStr"/>
      <c r="S3" s="20" t="inlineStr"/>
      <c r="T3" s="20" t="inlineStr"/>
      <c r="U3" s="20" t="inlineStr"/>
      <c r="V3" s="20" t="inlineStr"/>
      <c r="W3" s="20" t="inlineStr">
        <is>
          <t>Não</t>
        </is>
      </c>
    </row>
    <row r="4">
      <c r="A4" s="20" t="inlineStr">
        <is>
          <t>S-aba835</t>
        </is>
      </c>
      <c r="B4" s="20" t="inlineStr">
        <is>
          <t>A-5b1bcd</t>
        </is>
      </c>
      <c r="C4" s="20" t="inlineStr">
        <is>
          <t>Lenta (30+ dias)</t>
        </is>
      </c>
      <c r="D4" s="20" t="inlineStr">
        <is>
          <t>Nov/24</t>
        </is>
      </c>
      <c r="E4" s="20" t="inlineStr">
        <is>
          <t>Não</t>
        </is>
      </c>
      <c r="F4" s="21" t="n">
        <v>45192</v>
      </c>
      <c r="G4" s="21" t="n">
        <v>45598</v>
      </c>
      <c r="H4" s="20" t="n">
        <v>406</v>
      </c>
      <c r="I4" s="20" t="inlineStr">
        <is>
          <t>Basic</t>
        </is>
      </c>
      <c r="J4" s="20" t="inlineStr">
        <is>
          <t>Anual</t>
        </is>
      </c>
      <c r="K4" s="20" t="n">
        <v>73</v>
      </c>
      <c r="L4" s="20" t="inlineStr">
        <is>
          <t>41–80</t>
        </is>
      </c>
      <c r="M4" s="20" t="inlineStr">
        <is>
          <t>US</t>
        </is>
      </c>
      <c r="N4" s="20" t="inlineStr">
        <is>
          <t>Redução</t>
        </is>
      </c>
      <c r="O4" s="20" t="inlineStr">
        <is>
          <t>Redução</t>
        </is>
      </c>
      <c r="P4" s="20" t="inlineStr">
        <is>
          <t>Redução</t>
        </is>
      </c>
      <c r="Q4" s="20" t="n">
        <v>13</v>
      </c>
      <c r="R4" s="20" t="inlineStr"/>
      <c r="S4" s="20" t="inlineStr"/>
      <c r="T4" s="20" t="inlineStr"/>
      <c r="U4" s="20" t="inlineStr"/>
      <c r="V4" s="20" t="inlineStr"/>
      <c r="W4" s="20" t="inlineStr">
        <is>
          <t>Não</t>
        </is>
      </c>
    </row>
    <row r="5">
      <c r="A5" s="20" t="inlineStr">
        <is>
          <t>S-4df118</t>
        </is>
      </c>
      <c r="B5" s="20" t="inlineStr">
        <is>
          <t>A-86fc1d</t>
        </is>
      </c>
      <c r="C5" s="20" t="inlineStr">
        <is>
          <t>Rápida (&lt; 30 dias)</t>
        </is>
      </c>
      <c r="D5" s="20" t="inlineStr">
        <is>
          <t>Nov/24</t>
        </is>
      </c>
      <c r="E5" s="20" t="inlineStr">
        <is>
          <t>Não</t>
        </is>
      </c>
      <c r="F5" s="21" t="n">
        <v>45593</v>
      </c>
      <c r="G5" s="21" t="n">
        <v>45598</v>
      </c>
      <c r="H5" s="20" t="n">
        <v>5</v>
      </c>
      <c r="I5" s="20" t="inlineStr">
        <is>
          <t>Basic</t>
        </is>
      </c>
      <c r="J5" s="20" t="inlineStr">
        <is>
          <t>Mensal</t>
        </is>
      </c>
      <c r="K5" s="20" t="n">
        <v>26</v>
      </c>
      <c r="L5" s="20" t="inlineStr">
        <is>
          <t>21–40</t>
        </is>
      </c>
      <c r="M5" s="20" t="inlineStr">
        <is>
          <t>UK</t>
        </is>
      </c>
      <c r="N5" s="20" t="inlineStr">
        <is>
          <t>Troca/ajuste</t>
        </is>
      </c>
      <c r="O5" s="20" t="inlineStr">
        <is>
          <t>Troca/ajuste</t>
        </is>
      </c>
      <c r="P5" s="20" t="inlineStr">
        <is>
          <t>Troca/ajuste</t>
        </is>
      </c>
      <c r="Q5" s="20" t="n">
        <v>4</v>
      </c>
      <c r="R5" s="20" t="inlineStr">
        <is>
          <t>S-807f28, S-188518</t>
        </is>
      </c>
      <c r="S5" s="20" t="inlineStr">
        <is>
          <t>S-807f28</t>
        </is>
      </c>
      <c r="T5" s="20" t="inlineStr">
        <is>
          <t>Plano acima</t>
        </is>
      </c>
      <c r="U5" s="20" t="inlineStr">
        <is>
          <t>Mesma cobrança</t>
        </is>
      </c>
      <c r="V5" s="20" t="inlineStr">
        <is>
          <t>Mesmos seats</t>
        </is>
      </c>
      <c r="W5" s="20" t="inlineStr">
        <is>
          <t>Não</t>
        </is>
      </c>
    </row>
    <row r="6">
      <c r="A6" s="20" t="inlineStr">
        <is>
          <t>S-af2d97</t>
        </is>
      </c>
      <c r="B6" s="20" t="inlineStr">
        <is>
          <t>A-781cc0</t>
        </is>
      </c>
      <c r="C6" s="20" t="inlineStr">
        <is>
          <t>Rápida (&lt; 30 dias)</t>
        </is>
      </c>
      <c r="D6" s="20" t="inlineStr">
        <is>
          <t>Nov/24</t>
        </is>
      </c>
      <c r="E6" s="20" t="inlineStr">
        <is>
          <t>Não</t>
        </is>
      </c>
      <c r="F6" s="21" t="n">
        <v>45597</v>
      </c>
      <c r="G6" s="21" t="n">
        <v>45598</v>
      </c>
      <c r="H6" s="20" t="n">
        <v>1</v>
      </c>
      <c r="I6" s="20" t="inlineStr">
        <is>
          <t>Pro</t>
        </is>
      </c>
      <c r="J6" s="20" t="inlineStr">
        <is>
          <t>Mensal</t>
        </is>
      </c>
      <c r="K6" s="20" t="n">
        <v>28</v>
      </c>
      <c r="L6" s="20" t="inlineStr">
        <is>
          <t>21–40</t>
        </is>
      </c>
      <c r="M6" s="20" t="inlineStr">
        <is>
          <t>US</t>
        </is>
      </c>
      <c r="N6" s="20" t="inlineStr">
        <is>
          <t>Troca/ajuste</t>
        </is>
      </c>
      <c r="O6" s="20" t="inlineStr">
        <is>
          <t>Troca/ajuste</t>
        </is>
      </c>
      <c r="P6" s="20" t="inlineStr">
        <is>
          <t>Troca/ajuste</t>
        </is>
      </c>
      <c r="Q6" s="20" t="n">
        <v>12</v>
      </c>
      <c r="R6" s="20" t="inlineStr">
        <is>
          <t>S-beaa35, S-95aaf8</t>
        </is>
      </c>
      <c r="S6" s="20" t="inlineStr">
        <is>
          <t>S-beaa35</t>
        </is>
      </c>
      <c r="T6" s="20" t="inlineStr">
        <is>
          <t>Mesmo plano</t>
        </is>
      </c>
      <c r="U6" s="20" t="inlineStr">
        <is>
          <t>Mesma cobrança</t>
        </is>
      </c>
      <c r="V6" s="20" t="inlineStr">
        <is>
          <t>Menos seats</t>
        </is>
      </c>
      <c r="W6" s="20" t="inlineStr">
        <is>
          <t>Sim</t>
        </is>
      </c>
    </row>
    <row r="7">
      <c r="A7" s="20" t="inlineStr">
        <is>
          <t>S-54283b</t>
        </is>
      </c>
      <c r="B7" s="20" t="inlineStr">
        <is>
          <t>A-4c56c9</t>
        </is>
      </c>
      <c r="C7" s="20" t="inlineStr">
        <is>
          <t>Lenta (30+ dias)</t>
        </is>
      </c>
      <c r="D7" s="20" t="inlineStr">
        <is>
          <t>Nov/24</t>
        </is>
      </c>
      <c r="E7" s="20" t="inlineStr">
        <is>
          <t>Não</t>
        </is>
      </c>
      <c r="F7" s="21" t="n">
        <v>45531</v>
      </c>
      <c r="G7" s="21" t="n">
        <v>45599</v>
      </c>
      <c r="H7" s="20" t="n">
        <v>68</v>
      </c>
      <c r="I7" s="20" t="inlineStr">
        <is>
          <t>Enterprise</t>
        </is>
      </c>
      <c r="J7" s="20" t="inlineStr">
        <is>
          <t>Mensal</t>
        </is>
      </c>
      <c r="K7" s="20" t="n">
        <v>49</v>
      </c>
      <c r="L7" s="20" t="inlineStr">
        <is>
          <t>41–80</t>
        </is>
      </c>
      <c r="M7" s="20" t="inlineStr">
        <is>
          <t>US</t>
        </is>
      </c>
      <c r="N7" s="20" t="inlineStr">
        <is>
          <t>Redução</t>
        </is>
      </c>
      <c r="O7" s="20" t="inlineStr">
        <is>
          <t>Redução</t>
        </is>
      </c>
      <c r="P7" s="20" t="inlineStr">
        <is>
          <t>Troca/ajuste</t>
        </is>
      </c>
      <c r="Q7" s="20" t="n">
        <v>6</v>
      </c>
      <c r="R7" s="20" t="inlineStr"/>
      <c r="S7" s="20" t="inlineStr"/>
      <c r="T7" s="20" t="inlineStr"/>
      <c r="U7" s="20" t="inlineStr"/>
      <c r="V7" s="20" t="inlineStr"/>
      <c r="W7" s="20" t="inlineStr">
        <is>
          <t>Não</t>
        </is>
      </c>
    </row>
    <row r="8">
      <c r="A8" s="20" t="inlineStr">
        <is>
          <t>S-79bb4c</t>
        </is>
      </c>
      <c r="B8" s="20" t="inlineStr">
        <is>
          <t>A-f45426</t>
        </is>
      </c>
      <c r="C8" s="20" t="inlineStr">
        <is>
          <t>Lenta (30+ dias)</t>
        </is>
      </c>
      <c r="D8" s="20" t="inlineStr">
        <is>
          <t>Nov/24</t>
        </is>
      </c>
      <c r="E8" s="20" t="inlineStr">
        <is>
          <t>Não</t>
        </is>
      </c>
      <c r="F8" s="21" t="n">
        <v>45556</v>
      </c>
      <c r="G8" s="21" t="n">
        <v>45599</v>
      </c>
      <c r="H8" s="20" t="n">
        <v>43</v>
      </c>
      <c r="I8" s="20" t="inlineStr">
        <is>
          <t>Pro</t>
        </is>
      </c>
      <c r="J8" s="20" t="inlineStr">
        <is>
          <t>Anual</t>
        </is>
      </c>
      <c r="K8" s="20" t="n">
        <v>11</v>
      </c>
      <c r="L8" s="20" t="inlineStr">
        <is>
          <t>11–20</t>
        </is>
      </c>
      <c r="M8" s="20" t="inlineStr">
        <is>
          <t>US</t>
        </is>
      </c>
      <c r="N8" s="20" t="inlineStr">
        <is>
          <t>Redução</t>
        </is>
      </c>
      <c r="O8" s="20" t="inlineStr">
        <is>
          <t>Redução</t>
        </is>
      </c>
      <c r="P8" s="20" t="inlineStr">
        <is>
          <t>Troca/ajuste</t>
        </is>
      </c>
      <c r="Q8" s="20" t="n">
        <v>5</v>
      </c>
      <c r="R8" s="20" t="inlineStr"/>
      <c r="S8" s="20" t="inlineStr"/>
      <c r="T8" s="20" t="inlineStr"/>
      <c r="U8" s="20" t="inlineStr"/>
      <c r="V8" s="20" t="inlineStr"/>
      <c r="W8" s="20" t="inlineStr">
        <is>
          <t>Sim</t>
        </is>
      </c>
    </row>
    <row r="9">
      <c r="A9" s="20" t="inlineStr">
        <is>
          <t>S-983266</t>
        </is>
      </c>
      <c r="B9" s="20" t="inlineStr">
        <is>
          <t>A-dcc2f0</t>
        </is>
      </c>
      <c r="C9" s="20" t="inlineStr">
        <is>
          <t>Lenta (30+ dias)</t>
        </is>
      </c>
      <c r="D9" s="20" t="inlineStr">
        <is>
          <t>Nov/24</t>
        </is>
      </c>
      <c r="E9" s="20" t="inlineStr">
        <is>
          <t>Não</t>
        </is>
      </c>
      <c r="F9" s="21" t="n">
        <v>45551</v>
      </c>
      <c r="G9" s="21" t="n">
        <v>45599</v>
      </c>
      <c r="H9" s="20" t="n">
        <v>48</v>
      </c>
      <c r="I9" s="20" t="inlineStr">
        <is>
          <t>Pro</t>
        </is>
      </c>
      <c r="J9" s="20" t="inlineStr">
        <is>
          <t>Anual</t>
        </is>
      </c>
      <c r="K9" s="20" t="n">
        <v>15</v>
      </c>
      <c r="L9" s="20" t="inlineStr">
        <is>
          <t>11–20</t>
        </is>
      </c>
      <c r="M9" s="20" t="inlineStr">
        <is>
          <t>UK</t>
        </is>
      </c>
      <c r="N9" s="20" t="inlineStr">
        <is>
          <t>Redução</t>
        </is>
      </c>
      <c r="O9" s="20" t="inlineStr">
        <is>
          <t>Redução</t>
        </is>
      </c>
      <c r="P9" s="20" t="inlineStr">
        <is>
          <t>Troca/ajuste</t>
        </is>
      </c>
      <c r="Q9" s="20" t="n">
        <v>12</v>
      </c>
      <c r="R9" s="20" t="inlineStr"/>
      <c r="S9" s="20" t="inlineStr"/>
      <c r="T9" s="20" t="inlineStr"/>
      <c r="U9" s="20" t="inlineStr"/>
      <c r="V9" s="20" t="inlineStr"/>
      <c r="W9" s="20" t="inlineStr">
        <is>
          <t>Não</t>
        </is>
      </c>
    </row>
    <row r="10">
      <c r="A10" s="20" t="inlineStr">
        <is>
          <t>S-c844bd</t>
        </is>
      </c>
      <c r="B10" s="20" t="inlineStr">
        <is>
          <t>A-6a4e2d</t>
        </is>
      </c>
      <c r="C10" s="20" t="inlineStr">
        <is>
          <t>Lenta (30+ dias)</t>
        </is>
      </c>
      <c r="D10" s="20" t="inlineStr">
        <is>
          <t>Nov/24</t>
        </is>
      </c>
      <c r="E10" s="20" t="inlineStr">
        <is>
          <t>Não</t>
        </is>
      </c>
      <c r="F10" s="21" t="n">
        <v>45314</v>
      </c>
      <c r="G10" s="21" t="n">
        <v>45599</v>
      </c>
      <c r="H10" s="20" t="n">
        <v>285</v>
      </c>
      <c r="I10" s="20" t="inlineStr">
        <is>
          <t>Basic</t>
        </is>
      </c>
      <c r="J10" s="20" t="inlineStr">
        <is>
          <t>Anual</t>
        </is>
      </c>
      <c r="K10" s="20" t="n">
        <v>9</v>
      </c>
      <c r="L10" s="20" t="inlineStr">
        <is>
          <t>06–10</t>
        </is>
      </c>
      <c r="M10" s="20" t="inlineStr">
        <is>
          <t>UK</t>
        </is>
      </c>
      <c r="N10" s="20" t="inlineStr">
        <is>
          <t>Redução</t>
        </is>
      </c>
      <c r="O10" s="20" t="inlineStr">
        <is>
          <t>Redução</t>
        </is>
      </c>
      <c r="P10" s="20" t="inlineStr">
        <is>
          <t>Redução</t>
        </is>
      </c>
      <c r="Q10" s="20" t="n">
        <v>9</v>
      </c>
      <c r="R10" s="20" t="inlineStr"/>
      <c r="S10" s="20" t="inlineStr"/>
      <c r="T10" s="20" t="inlineStr"/>
      <c r="U10" s="20" t="inlineStr"/>
      <c r="V10" s="20" t="inlineStr"/>
      <c r="W10" s="20" t="inlineStr">
        <is>
          <t>Não</t>
        </is>
      </c>
    </row>
    <row r="11">
      <c r="A11" s="20" t="inlineStr">
        <is>
          <t>S-7dab19</t>
        </is>
      </c>
      <c r="B11" s="20" t="inlineStr">
        <is>
          <t>A-de58ca</t>
        </is>
      </c>
      <c r="C11" s="20" t="inlineStr">
        <is>
          <t>Lenta (30+ dias)</t>
        </is>
      </c>
      <c r="D11" s="20" t="inlineStr">
        <is>
          <t>Nov/24</t>
        </is>
      </c>
      <c r="E11" s="20" t="inlineStr">
        <is>
          <t>Não</t>
        </is>
      </c>
      <c r="F11" s="21" t="n">
        <v>45284</v>
      </c>
      <c r="G11" s="21" t="n">
        <v>45600</v>
      </c>
      <c r="H11" s="20" t="n">
        <v>316</v>
      </c>
      <c r="I11" s="20" t="inlineStr">
        <is>
          <t>Basic</t>
        </is>
      </c>
      <c r="J11" s="20" t="inlineStr">
        <is>
          <t>Anual</t>
        </is>
      </c>
      <c r="K11" s="20" t="n">
        <v>47</v>
      </c>
      <c r="L11" s="20" t="inlineStr">
        <is>
          <t>41–80</t>
        </is>
      </c>
      <c r="M11" s="20" t="inlineStr">
        <is>
          <t>DE</t>
        </is>
      </c>
      <c r="N11" s="20" t="inlineStr">
        <is>
          <t>Redução</t>
        </is>
      </c>
      <c r="O11" s="20" t="inlineStr">
        <is>
          <t>Redução</t>
        </is>
      </c>
      <c r="P11" s="20" t="inlineStr">
        <is>
          <t>Redução</t>
        </is>
      </c>
      <c r="Q11" s="20" t="n">
        <v>9</v>
      </c>
      <c r="R11" s="20" t="inlineStr"/>
      <c r="S11" s="20" t="inlineStr"/>
      <c r="T11" s="20" t="inlineStr"/>
      <c r="U11" s="20" t="inlineStr"/>
      <c r="V11" s="20" t="inlineStr"/>
      <c r="W11" s="20" t="inlineStr">
        <is>
          <t>Não</t>
        </is>
      </c>
    </row>
    <row r="12">
      <c r="A12" s="20" t="inlineStr">
        <is>
          <t>S-e1e2bf</t>
        </is>
      </c>
      <c r="B12" s="20" t="inlineStr">
        <is>
          <t>A-7da956</t>
        </is>
      </c>
      <c r="C12" s="20" t="inlineStr">
        <is>
          <t>Lenta (30+ dias)</t>
        </is>
      </c>
      <c r="D12" s="20" t="inlineStr">
        <is>
          <t>Nov/24</t>
        </is>
      </c>
      <c r="E12" s="20" t="inlineStr">
        <is>
          <t>Não</t>
        </is>
      </c>
      <c r="F12" s="21" t="n">
        <v>45559</v>
      </c>
      <c r="G12" s="21" t="n">
        <v>45600</v>
      </c>
      <c r="H12" s="20" t="n">
        <v>41</v>
      </c>
      <c r="I12" s="20" t="inlineStr">
        <is>
          <t>Basic</t>
        </is>
      </c>
      <c r="J12" s="20" t="inlineStr">
        <is>
          <t>Anual</t>
        </is>
      </c>
      <c r="K12" s="20" t="n">
        <v>13</v>
      </c>
      <c r="L12" s="20" t="inlineStr">
        <is>
          <t>11–20</t>
        </is>
      </c>
      <c r="M12" s="20" t="inlineStr">
        <is>
          <t>US</t>
        </is>
      </c>
      <c r="N12" s="20" t="inlineStr">
        <is>
          <t>Troca/ajuste</t>
        </is>
      </c>
      <c r="O12" s="20" t="inlineStr">
        <is>
          <t>Troca/ajuste</t>
        </is>
      </c>
      <c r="P12" s="20" t="inlineStr">
        <is>
          <t>Troca/ajuste</t>
        </is>
      </c>
      <c r="Q12" s="20" t="n">
        <v>9</v>
      </c>
      <c r="R12" s="20" t="inlineStr">
        <is>
          <t>S-d19da0</t>
        </is>
      </c>
      <c r="S12" s="20" t="inlineStr">
        <is>
          <t>S-d19da0</t>
        </is>
      </c>
      <c r="T12" s="20" t="inlineStr">
        <is>
          <t>Mesmo plano</t>
        </is>
      </c>
      <c r="U12" s="20" t="inlineStr">
        <is>
          <t>Mesma cobrança</t>
        </is>
      </c>
      <c r="V12" s="20" t="inlineStr">
        <is>
          <t>Mesmos seats</t>
        </is>
      </c>
      <c r="W12" s="20" t="inlineStr">
        <is>
          <t>Não</t>
        </is>
      </c>
    </row>
    <row r="13">
      <c r="A13" s="20" t="inlineStr">
        <is>
          <t>S-1be7c5</t>
        </is>
      </c>
      <c r="B13" s="20" t="inlineStr">
        <is>
          <t>A-80eeb6</t>
        </is>
      </c>
      <c r="C13" s="20" t="inlineStr">
        <is>
          <t>Lenta (30+ dias)</t>
        </is>
      </c>
      <c r="D13" s="20" t="inlineStr">
        <is>
          <t>Nov/24</t>
        </is>
      </c>
      <c r="E13" s="20" t="inlineStr">
        <is>
          <t>Não</t>
        </is>
      </c>
      <c r="F13" s="21" t="n">
        <v>45122</v>
      </c>
      <c r="G13" s="21" t="n">
        <v>45601</v>
      </c>
      <c r="H13" s="20" t="n">
        <v>479</v>
      </c>
      <c r="I13" s="20" t="inlineStr">
        <is>
          <t>Basic</t>
        </is>
      </c>
      <c r="J13" s="20" t="inlineStr">
        <is>
          <t>Mensal</t>
        </is>
      </c>
      <c r="K13" s="20" t="n">
        <v>34</v>
      </c>
      <c r="L13" s="20" t="inlineStr">
        <is>
          <t>21–40</t>
        </is>
      </c>
      <c r="M13" s="20" t="inlineStr">
        <is>
          <t>UK</t>
        </is>
      </c>
      <c r="N13" s="20" t="inlineStr">
        <is>
          <t>Troca/ajuste</t>
        </is>
      </c>
      <c r="O13" s="20" t="inlineStr">
        <is>
          <t>Redução</t>
        </is>
      </c>
      <c r="P13" s="20" t="inlineStr">
        <is>
          <t>Troca/ajuste</t>
        </is>
      </c>
      <c r="Q13" s="20" t="n">
        <v>13</v>
      </c>
      <c r="R13" s="20" t="inlineStr">
        <is>
          <t>S-8a6579</t>
        </is>
      </c>
      <c r="S13" s="20" t="inlineStr">
        <is>
          <t>S-8a6579</t>
        </is>
      </c>
      <c r="T13" s="20" t="inlineStr">
        <is>
          <t>Mesmo plano</t>
        </is>
      </c>
      <c r="U13" s="20" t="inlineStr">
        <is>
          <t>Mudou para anual</t>
        </is>
      </c>
      <c r="V13" s="20" t="inlineStr">
        <is>
          <t>Menos seats</t>
        </is>
      </c>
      <c r="W13" s="20" t="inlineStr">
        <is>
          <t>Não</t>
        </is>
      </c>
    </row>
    <row r="14">
      <c r="A14" s="20" t="inlineStr">
        <is>
          <t>S-6f0169</t>
        </is>
      </c>
      <c r="B14" s="20" t="inlineStr">
        <is>
          <t>A-86cdb4</t>
        </is>
      </c>
      <c r="C14" s="20" t="inlineStr">
        <is>
          <t>Rápida (&lt; 30 dias)</t>
        </is>
      </c>
      <c r="D14" s="20" t="inlineStr">
        <is>
          <t>Nov/24</t>
        </is>
      </c>
      <c r="E14" s="20" t="inlineStr">
        <is>
          <t>Não</t>
        </is>
      </c>
      <c r="F14" s="21" t="n">
        <v>45588</v>
      </c>
      <c r="G14" s="21" t="n">
        <v>45602</v>
      </c>
      <c r="H14" s="20" t="n">
        <v>14</v>
      </c>
      <c r="I14" s="20" t="inlineStr">
        <is>
          <t>Pro</t>
        </is>
      </c>
      <c r="J14" s="20" t="inlineStr">
        <is>
          <t>Mensal</t>
        </is>
      </c>
      <c r="K14" s="20" t="n">
        <v>3</v>
      </c>
      <c r="L14" s="20" t="inlineStr">
        <is>
          <t>01–05</t>
        </is>
      </c>
      <c r="M14" s="20" t="inlineStr">
        <is>
          <t>DE</t>
        </is>
      </c>
      <c r="N14" s="20" t="inlineStr">
        <is>
          <t>Troca/ajuste</t>
        </is>
      </c>
      <c r="O14" s="20" t="inlineStr">
        <is>
          <t>Redução</t>
        </is>
      </c>
      <c r="P14" s="20" t="inlineStr">
        <is>
          <t>Troca/ajuste</t>
        </is>
      </c>
      <c r="Q14" s="20" t="n">
        <v>4</v>
      </c>
      <c r="R14" s="20" t="inlineStr">
        <is>
          <t>S-834a48</t>
        </is>
      </c>
      <c r="S14" s="20" t="inlineStr">
        <is>
          <t>S-834a48</t>
        </is>
      </c>
      <c r="T14" s="20" t="inlineStr">
        <is>
          <t>Plano abaixo</t>
        </is>
      </c>
      <c r="U14" s="20" t="inlineStr">
        <is>
          <t>Mesma cobrança</t>
        </is>
      </c>
      <c r="V14" s="20" t="inlineStr">
        <is>
          <t>Mais seats</t>
        </is>
      </c>
      <c r="W14" s="20" t="inlineStr">
        <is>
          <t>Não</t>
        </is>
      </c>
    </row>
    <row r="15">
      <c r="A15" s="20" t="inlineStr">
        <is>
          <t>S-d449e1</t>
        </is>
      </c>
      <c r="B15" s="20" t="inlineStr">
        <is>
          <t>A-ccabf0</t>
        </is>
      </c>
      <c r="C15" s="20" t="inlineStr">
        <is>
          <t>Rápida (&lt; 30 dias)</t>
        </is>
      </c>
      <c r="D15" s="20" t="inlineStr">
        <is>
          <t>Nov/24</t>
        </is>
      </c>
      <c r="E15" s="20" t="inlineStr">
        <is>
          <t>Não</t>
        </is>
      </c>
      <c r="F15" s="21" t="n">
        <v>45580</v>
      </c>
      <c r="G15" s="21" t="n">
        <v>45602</v>
      </c>
      <c r="H15" s="20" t="n">
        <v>22</v>
      </c>
      <c r="I15" s="20" t="inlineStr">
        <is>
          <t>Basic</t>
        </is>
      </c>
      <c r="J15" s="20" t="inlineStr">
        <is>
          <t>Anual</t>
        </is>
      </c>
      <c r="K15" s="20" t="n">
        <v>25</v>
      </c>
      <c r="L15" s="20" t="inlineStr">
        <is>
          <t>21–40</t>
        </is>
      </c>
      <c r="M15" s="20" t="inlineStr">
        <is>
          <t>IN</t>
        </is>
      </c>
      <c r="N15" s="20" t="inlineStr">
        <is>
          <t>Redução</t>
        </is>
      </c>
      <c r="O15" s="20" t="inlineStr">
        <is>
          <t>Redução</t>
        </is>
      </c>
      <c r="P15" s="20" t="inlineStr">
        <is>
          <t>Redução</t>
        </is>
      </c>
      <c r="Q15" s="20" t="n">
        <v>9</v>
      </c>
      <c r="R15" s="20" t="inlineStr"/>
      <c r="S15" s="20" t="inlineStr"/>
      <c r="T15" s="20" t="inlineStr"/>
      <c r="U15" s="20" t="inlineStr"/>
      <c r="V15" s="20" t="inlineStr"/>
      <c r="W15" s="20" t="inlineStr">
        <is>
          <t>Não</t>
        </is>
      </c>
    </row>
    <row r="16">
      <c r="A16" s="20" t="inlineStr">
        <is>
          <t>S-c2fd82</t>
        </is>
      </c>
      <c r="B16" s="20" t="inlineStr">
        <is>
          <t>A-84ebe4</t>
        </is>
      </c>
      <c r="C16" s="20" t="inlineStr">
        <is>
          <t>Lenta (30+ dias)</t>
        </is>
      </c>
      <c r="D16" s="20" t="inlineStr">
        <is>
          <t>Nov/24</t>
        </is>
      </c>
      <c r="E16" s="20" t="inlineStr">
        <is>
          <t>Não</t>
        </is>
      </c>
      <c r="F16" s="21" t="n">
        <v>45472</v>
      </c>
      <c r="G16" s="21" t="n">
        <v>45602</v>
      </c>
      <c r="H16" s="20" t="n">
        <v>130</v>
      </c>
      <c r="I16" s="20" t="inlineStr">
        <is>
          <t>Enterprise</t>
        </is>
      </c>
      <c r="J16" s="20" t="inlineStr">
        <is>
          <t>Mensal</t>
        </is>
      </c>
      <c r="K16" s="20" t="n">
        <v>82</v>
      </c>
      <c r="L16" s="20" t="inlineStr">
        <is>
          <t>81 ou mais</t>
        </is>
      </c>
      <c r="M16" s="20" t="inlineStr">
        <is>
          <t>US</t>
        </is>
      </c>
      <c r="N16" s="20" t="inlineStr">
        <is>
          <t>Redução</t>
        </is>
      </c>
      <c r="O16" s="20" t="inlineStr">
        <is>
          <t>Redução</t>
        </is>
      </c>
      <c r="P16" s="20" t="inlineStr">
        <is>
          <t>Troca/ajuste</t>
        </is>
      </c>
      <c r="Q16" s="20" t="n">
        <v>8</v>
      </c>
      <c r="R16" s="20" t="inlineStr"/>
      <c r="S16" s="20" t="inlineStr"/>
      <c r="T16" s="20" t="inlineStr"/>
      <c r="U16" s="20" t="inlineStr"/>
      <c r="V16" s="20" t="inlineStr"/>
      <c r="W16" s="20" t="inlineStr">
        <is>
          <t>Não</t>
        </is>
      </c>
    </row>
    <row r="17">
      <c r="A17" s="20" t="inlineStr">
        <is>
          <t>S-63e282</t>
        </is>
      </c>
      <c r="B17" s="20" t="inlineStr">
        <is>
          <t>A-6a4e2d</t>
        </is>
      </c>
      <c r="C17" s="20" t="inlineStr">
        <is>
          <t>Rápida (&lt; 30 dias)</t>
        </is>
      </c>
      <c r="D17" s="20" t="inlineStr">
        <is>
          <t>Nov/24</t>
        </is>
      </c>
      <c r="E17" s="20" t="inlineStr">
        <is>
          <t>Não</t>
        </is>
      </c>
      <c r="F17" s="21" t="n">
        <v>45580</v>
      </c>
      <c r="G17" s="21" t="n">
        <v>45603</v>
      </c>
      <c r="H17" s="20" t="n">
        <v>23</v>
      </c>
      <c r="I17" s="20" t="inlineStr">
        <is>
          <t>Pro</t>
        </is>
      </c>
      <c r="J17" s="20" t="inlineStr">
        <is>
          <t>Anual</t>
        </is>
      </c>
      <c r="K17" s="20" t="n">
        <v>14</v>
      </c>
      <c r="L17" s="20" t="inlineStr">
        <is>
          <t>11–20</t>
        </is>
      </c>
      <c r="M17" s="20" t="inlineStr">
        <is>
          <t>UK</t>
        </is>
      </c>
      <c r="N17" s="20" t="inlineStr">
        <is>
          <t>Redução</t>
        </is>
      </c>
      <c r="O17" s="20" t="inlineStr">
        <is>
          <t>Redução</t>
        </is>
      </c>
      <c r="P17" s="20" t="inlineStr">
        <is>
          <t>Redução</t>
        </is>
      </c>
      <c r="Q17" s="20" t="n">
        <v>8</v>
      </c>
      <c r="R17" s="20" t="inlineStr"/>
      <c r="S17" s="20" t="inlineStr"/>
      <c r="T17" s="20" t="inlineStr"/>
      <c r="U17" s="20" t="inlineStr"/>
      <c r="V17" s="20" t="inlineStr"/>
      <c r="W17" s="20" t="inlineStr">
        <is>
          <t>Não</t>
        </is>
      </c>
    </row>
    <row r="18">
      <c r="A18" s="20" t="inlineStr">
        <is>
          <t>S-f94b9b</t>
        </is>
      </c>
      <c r="B18" s="20" t="inlineStr">
        <is>
          <t>A-82861f</t>
        </is>
      </c>
      <c r="C18" s="20" t="inlineStr">
        <is>
          <t>Rápida (&lt; 30 dias)</t>
        </is>
      </c>
      <c r="D18" s="20" t="inlineStr">
        <is>
          <t>Nov/24</t>
        </is>
      </c>
      <c r="E18" s="20" t="inlineStr">
        <is>
          <t>Não</t>
        </is>
      </c>
      <c r="F18" s="21" t="n">
        <v>45581</v>
      </c>
      <c r="G18" s="21" t="n">
        <v>45604</v>
      </c>
      <c r="H18" s="20" t="n">
        <v>23</v>
      </c>
      <c r="I18" s="20" t="inlineStr">
        <is>
          <t>Pro</t>
        </is>
      </c>
      <c r="J18" s="20" t="inlineStr">
        <is>
          <t>Anual</t>
        </is>
      </c>
      <c r="K18" s="20" t="n">
        <v>41</v>
      </c>
      <c r="L18" s="20" t="inlineStr">
        <is>
          <t>41–80</t>
        </is>
      </c>
      <c r="M18" s="20" t="inlineStr">
        <is>
          <t>UK</t>
        </is>
      </c>
      <c r="N18" s="20" t="inlineStr">
        <is>
          <t>Redução</t>
        </is>
      </c>
      <c r="O18" s="20" t="inlineStr">
        <is>
          <t>Redução</t>
        </is>
      </c>
      <c r="P18" s="20" t="inlineStr">
        <is>
          <t>Troca/ajuste</t>
        </is>
      </c>
      <c r="Q18" s="20" t="n">
        <v>7</v>
      </c>
      <c r="R18" s="20" t="inlineStr"/>
      <c r="S18" s="20" t="inlineStr"/>
      <c r="T18" s="20" t="inlineStr"/>
      <c r="U18" s="20" t="inlineStr"/>
      <c r="V18" s="20" t="inlineStr"/>
      <c r="W18" s="20" t="inlineStr">
        <is>
          <t>Não</t>
        </is>
      </c>
    </row>
    <row r="19">
      <c r="A19" s="20" t="inlineStr">
        <is>
          <t>S-c2a14b</t>
        </is>
      </c>
      <c r="B19" s="20" t="inlineStr">
        <is>
          <t>A-526d93</t>
        </is>
      </c>
      <c r="C19" s="20" t="inlineStr">
        <is>
          <t>Rápida (&lt; 30 dias)</t>
        </is>
      </c>
      <c r="D19" s="20" t="inlineStr">
        <is>
          <t>Nov/24</t>
        </is>
      </c>
      <c r="E19" s="20" t="inlineStr">
        <is>
          <t>Não</t>
        </is>
      </c>
      <c r="F19" s="21" t="n">
        <v>45604</v>
      </c>
      <c r="G19" s="21" t="n">
        <v>45606</v>
      </c>
      <c r="H19" s="20" t="n">
        <v>2</v>
      </c>
      <c r="I19" s="20" t="inlineStr">
        <is>
          <t>Enterprise</t>
        </is>
      </c>
      <c r="J19" s="20" t="inlineStr">
        <is>
          <t>Anual</t>
        </is>
      </c>
      <c r="K19" s="20" t="n">
        <v>43</v>
      </c>
      <c r="L19" s="20" t="inlineStr">
        <is>
          <t>41–80</t>
        </is>
      </c>
      <c r="M19" s="20" t="inlineStr">
        <is>
          <t>FR</t>
        </is>
      </c>
      <c r="N19" s="20" t="inlineStr">
        <is>
          <t>Redução</t>
        </is>
      </c>
      <c r="O19" s="20" t="inlineStr">
        <is>
          <t>Redução</t>
        </is>
      </c>
      <c r="P19" s="20" t="inlineStr">
        <is>
          <t>Redução</t>
        </is>
      </c>
      <c r="Q19" s="20" t="n">
        <v>8</v>
      </c>
      <c r="R19" s="20" t="inlineStr"/>
      <c r="S19" s="20" t="inlineStr"/>
      <c r="T19" s="20" t="inlineStr"/>
      <c r="U19" s="20" t="inlineStr"/>
      <c r="V19" s="20" t="inlineStr"/>
      <c r="W19" s="20" t="inlineStr">
        <is>
          <t>Não</t>
        </is>
      </c>
    </row>
    <row r="20">
      <c r="A20" s="20" t="inlineStr">
        <is>
          <t>S-a3ab14</t>
        </is>
      </c>
      <c r="B20" s="20" t="inlineStr">
        <is>
          <t>A-fdfc91</t>
        </is>
      </c>
      <c r="C20" s="20" t="inlineStr">
        <is>
          <t>Lenta (30+ dias)</t>
        </is>
      </c>
      <c r="D20" s="20" t="inlineStr">
        <is>
          <t>Nov/24</t>
        </is>
      </c>
      <c r="E20" s="20" t="inlineStr">
        <is>
          <t>Não</t>
        </is>
      </c>
      <c r="F20" s="21" t="n">
        <v>45504</v>
      </c>
      <c r="G20" s="21" t="n">
        <v>45606</v>
      </c>
      <c r="H20" s="20" t="n">
        <v>102</v>
      </c>
      <c r="I20" s="20" t="inlineStr">
        <is>
          <t>Pro</t>
        </is>
      </c>
      <c r="J20" s="20" t="inlineStr">
        <is>
          <t>Anual</t>
        </is>
      </c>
      <c r="K20" s="20" t="n">
        <v>29</v>
      </c>
      <c r="L20" s="20" t="inlineStr">
        <is>
          <t>21–40</t>
        </is>
      </c>
      <c r="M20" s="20" t="inlineStr">
        <is>
          <t>US</t>
        </is>
      </c>
      <c r="N20" s="20" t="inlineStr">
        <is>
          <t>Redução</t>
        </is>
      </c>
      <c r="O20" s="20" t="inlineStr">
        <is>
          <t>Redução</t>
        </is>
      </c>
      <c r="P20" s="20" t="inlineStr">
        <is>
          <t>Redução</t>
        </is>
      </c>
      <c r="Q20" s="20" t="n">
        <v>9</v>
      </c>
      <c r="R20" s="20" t="inlineStr"/>
      <c r="S20" s="20" t="inlineStr"/>
      <c r="T20" s="20" t="inlineStr"/>
      <c r="U20" s="20" t="inlineStr"/>
      <c r="V20" s="20" t="inlineStr"/>
      <c r="W20" s="20" t="inlineStr">
        <is>
          <t>Não</t>
        </is>
      </c>
    </row>
    <row r="21">
      <c r="A21" s="20" t="inlineStr">
        <is>
          <t>S-d35d49</t>
        </is>
      </c>
      <c r="B21" s="20" t="inlineStr">
        <is>
          <t>A-bc87bc</t>
        </is>
      </c>
      <c r="C21" s="20" t="inlineStr">
        <is>
          <t>Lenta (30+ dias)</t>
        </is>
      </c>
      <c r="D21" s="20" t="inlineStr">
        <is>
          <t>Nov/24</t>
        </is>
      </c>
      <c r="E21" s="20" t="inlineStr">
        <is>
          <t>Não</t>
        </is>
      </c>
      <c r="F21" s="21" t="n">
        <v>45546</v>
      </c>
      <c r="G21" s="21" t="n">
        <v>45606</v>
      </c>
      <c r="H21" s="20" t="n">
        <v>60</v>
      </c>
      <c r="I21" s="20" t="inlineStr">
        <is>
          <t>Basic</t>
        </is>
      </c>
      <c r="J21" s="20" t="inlineStr">
        <is>
          <t>Anual</t>
        </is>
      </c>
      <c r="K21" s="20" t="n">
        <v>18</v>
      </c>
      <c r="L21" s="20" t="inlineStr">
        <is>
          <t>11–20</t>
        </is>
      </c>
      <c r="M21" s="20" t="inlineStr">
        <is>
          <t>US</t>
        </is>
      </c>
      <c r="N21" s="20" t="inlineStr">
        <is>
          <t>Troca/ajuste</t>
        </is>
      </c>
      <c r="O21" s="20" t="inlineStr">
        <is>
          <t>Troca/ajuste</t>
        </is>
      </c>
      <c r="P21" s="20" t="inlineStr">
        <is>
          <t>Troca/ajuste</t>
        </is>
      </c>
      <c r="Q21" s="20" t="n">
        <v>2</v>
      </c>
      <c r="R21" s="20" t="inlineStr">
        <is>
          <t>S-ad8055, S-c84ce4</t>
        </is>
      </c>
      <c r="S21" s="20" t="inlineStr">
        <is>
          <t>S-ad8055</t>
        </is>
      </c>
      <c r="T21" s="20" t="inlineStr">
        <is>
          <t>Plano acima</t>
        </is>
      </c>
      <c r="U21" s="20" t="inlineStr">
        <is>
          <t>Mudou para mensal</t>
        </is>
      </c>
      <c r="V21" s="20" t="inlineStr">
        <is>
          <t>Menos seats</t>
        </is>
      </c>
      <c r="W21" s="20" t="inlineStr">
        <is>
          <t>Não</t>
        </is>
      </c>
    </row>
    <row r="22">
      <c r="A22" s="20" t="inlineStr">
        <is>
          <t>S-3ee7c3</t>
        </is>
      </c>
      <c r="B22" s="20" t="inlineStr">
        <is>
          <t>A-cdf020</t>
        </is>
      </c>
      <c r="C22" s="20" t="inlineStr">
        <is>
          <t>Lenta (30+ dias)</t>
        </is>
      </c>
      <c r="D22" s="20" t="inlineStr">
        <is>
          <t>Nov/24</t>
        </is>
      </c>
      <c r="E22" s="20" t="inlineStr">
        <is>
          <t>Não</t>
        </is>
      </c>
      <c r="F22" s="21" t="n">
        <v>45388</v>
      </c>
      <c r="G22" s="21" t="n">
        <v>45606</v>
      </c>
      <c r="H22" s="20" t="n">
        <v>218</v>
      </c>
      <c r="I22" s="20" t="inlineStr">
        <is>
          <t>Enterprise</t>
        </is>
      </c>
      <c r="J22" s="20" t="inlineStr">
        <is>
          <t>Mensal</t>
        </is>
      </c>
      <c r="K22" s="20" t="n">
        <v>23</v>
      </c>
      <c r="L22" s="20" t="inlineStr">
        <is>
          <t>21–40</t>
        </is>
      </c>
      <c r="M22" s="20" t="inlineStr">
        <is>
          <t>AU</t>
        </is>
      </c>
      <c r="N22" s="20" t="inlineStr">
        <is>
          <t>Redução</t>
        </is>
      </c>
      <c r="O22" s="20" t="inlineStr">
        <is>
          <t>Redução</t>
        </is>
      </c>
      <c r="P22" s="20" t="inlineStr">
        <is>
          <t>Redução</t>
        </is>
      </c>
      <c r="Q22" s="20" t="n">
        <v>5</v>
      </c>
      <c r="R22" s="20" t="inlineStr"/>
      <c r="S22" s="20" t="inlineStr"/>
      <c r="T22" s="20" t="inlineStr"/>
      <c r="U22" s="20" t="inlineStr"/>
      <c r="V22" s="20" t="inlineStr"/>
      <c r="W22" s="20" t="inlineStr">
        <is>
          <t>Sim</t>
        </is>
      </c>
    </row>
    <row r="23">
      <c r="A23" s="20" t="inlineStr">
        <is>
          <t>S-0c5771</t>
        </is>
      </c>
      <c r="B23" s="20" t="inlineStr">
        <is>
          <t>A-798a3f</t>
        </is>
      </c>
      <c r="C23" s="20" t="inlineStr">
        <is>
          <t>Lenta (30+ dias)</t>
        </is>
      </c>
      <c r="D23" s="20" t="inlineStr">
        <is>
          <t>Nov/24</t>
        </is>
      </c>
      <c r="E23" s="20" t="inlineStr">
        <is>
          <t>Não</t>
        </is>
      </c>
      <c r="F23" s="21" t="n">
        <v>45346</v>
      </c>
      <c r="G23" s="21" t="n">
        <v>45606</v>
      </c>
      <c r="H23" s="20" t="n">
        <v>260</v>
      </c>
      <c r="I23" s="20" t="inlineStr">
        <is>
          <t>Enterprise</t>
        </is>
      </c>
      <c r="J23" s="20" t="inlineStr">
        <is>
          <t>Anual</t>
        </is>
      </c>
      <c r="K23" s="20" t="n">
        <v>12</v>
      </c>
      <c r="L23" s="20" t="inlineStr">
        <is>
          <t>11–20</t>
        </is>
      </c>
      <c r="M23" s="20" t="inlineStr">
        <is>
          <t>FR</t>
        </is>
      </c>
      <c r="N23" s="20" t="inlineStr">
        <is>
          <t>Redução</t>
        </is>
      </c>
      <c r="O23" s="20" t="inlineStr">
        <is>
          <t>Redução</t>
        </is>
      </c>
      <c r="P23" s="20" t="inlineStr">
        <is>
          <t>Redução</t>
        </is>
      </c>
      <c r="Q23" s="20" t="n">
        <v>7</v>
      </c>
      <c r="R23" s="20" t="inlineStr"/>
      <c r="S23" s="20" t="inlineStr"/>
      <c r="T23" s="20" t="inlineStr"/>
      <c r="U23" s="20" t="inlineStr"/>
      <c r="V23" s="20" t="inlineStr"/>
      <c r="W23" s="20" t="inlineStr">
        <is>
          <t>Não</t>
        </is>
      </c>
    </row>
    <row r="24">
      <c r="A24" s="20" t="inlineStr">
        <is>
          <t>S-0455a5</t>
        </is>
      </c>
      <c r="B24" s="20" t="inlineStr">
        <is>
          <t>A-993085</t>
        </is>
      </c>
      <c r="C24" s="20" t="inlineStr">
        <is>
          <t>Rápida (&lt; 30 dias)</t>
        </is>
      </c>
      <c r="D24" s="20" t="inlineStr">
        <is>
          <t>Nov/24</t>
        </is>
      </c>
      <c r="E24" s="20" t="inlineStr">
        <is>
          <t>Não</t>
        </is>
      </c>
      <c r="F24" s="21" t="n">
        <v>45587</v>
      </c>
      <c r="G24" s="21" t="n">
        <v>45606</v>
      </c>
      <c r="H24" s="20" t="n">
        <v>19</v>
      </c>
      <c r="I24" s="20" t="inlineStr">
        <is>
          <t>Enterprise</t>
        </is>
      </c>
      <c r="J24" s="20" t="inlineStr">
        <is>
          <t>Mensal</t>
        </is>
      </c>
      <c r="K24" s="20" t="n">
        <v>42</v>
      </c>
      <c r="L24" s="20" t="inlineStr">
        <is>
          <t>41–80</t>
        </is>
      </c>
      <c r="M24" s="20" t="inlineStr">
        <is>
          <t>US</t>
        </is>
      </c>
      <c r="N24" s="20" t="inlineStr">
        <is>
          <t>Redução</t>
        </is>
      </c>
      <c r="O24" s="20" t="inlineStr">
        <is>
          <t>Redução</t>
        </is>
      </c>
      <c r="P24" s="20" t="inlineStr">
        <is>
          <t>Redução</t>
        </is>
      </c>
      <c r="Q24" s="20" t="n">
        <v>14</v>
      </c>
      <c r="R24" s="20" t="inlineStr"/>
      <c r="S24" s="20" t="inlineStr"/>
      <c r="T24" s="20" t="inlineStr"/>
      <c r="U24" s="20" t="inlineStr"/>
      <c r="V24" s="20" t="inlineStr"/>
      <c r="W24" s="20" t="inlineStr">
        <is>
          <t>Não</t>
        </is>
      </c>
    </row>
    <row r="25">
      <c r="A25" s="20" t="inlineStr">
        <is>
          <t>S-4695b8</t>
        </is>
      </c>
      <c r="B25" s="20" t="inlineStr">
        <is>
          <t>A-ad64c6</t>
        </is>
      </c>
      <c r="C25" s="20" t="inlineStr">
        <is>
          <t>Lenta (30+ dias)</t>
        </is>
      </c>
      <c r="D25" s="20" t="inlineStr">
        <is>
          <t>Nov/24</t>
        </is>
      </c>
      <c r="E25" s="20" t="inlineStr">
        <is>
          <t>Não</t>
        </is>
      </c>
      <c r="F25" s="21" t="n">
        <v>45519</v>
      </c>
      <c r="G25" s="21" t="n">
        <v>45607</v>
      </c>
      <c r="H25" s="20" t="n">
        <v>88</v>
      </c>
      <c r="I25" s="20" t="inlineStr">
        <is>
          <t>Pro</t>
        </is>
      </c>
      <c r="J25" s="20" t="inlineStr">
        <is>
          <t>Anual</t>
        </is>
      </c>
      <c r="K25" s="20" t="n">
        <v>12</v>
      </c>
      <c r="L25" s="20" t="inlineStr">
        <is>
          <t>11–20</t>
        </is>
      </c>
      <c r="M25" s="20" t="inlineStr">
        <is>
          <t>UK</t>
        </is>
      </c>
      <c r="N25" s="20" t="inlineStr">
        <is>
          <t>Redução</t>
        </is>
      </c>
      <c r="O25" s="20" t="inlineStr">
        <is>
          <t>Redução</t>
        </is>
      </c>
      <c r="P25" s="20" t="inlineStr">
        <is>
          <t>Troca/ajuste</t>
        </is>
      </c>
      <c r="Q25" s="20" t="n">
        <v>4</v>
      </c>
      <c r="R25" s="20" t="inlineStr"/>
      <c r="S25" s="20" t="inlineStr"/>
      <c r="T25" s="20" t="inlineStr"/>
      <c r="U25" s="20" t="inlineStr"/>
      <c r="V25" s="20" t="inlineStr"/>
      <c r="W25" s="20" t="inlineStr">
        <is>
          <t>Não</t>
        </is>
      </c>
    </row>
    <row r="26">
      <c r="A26" s="20" t="inlineStr">
        <is>
          <t>S-e6571c</t>
        </is>
      </c>
      <c r="B26" s="20" t="inlineStr">
        <is>
          <t>A-0be015</t>
        </is>
      </c>
      <c r="C26" s="20" t="inlineStr">
        <is>
          <t>Rápida (&lt; 30 dias)</t>
        </is>
      </c>
      <c r="D26" s="20" t="inlineStr">
        <is>
          <t>Nov/24</t>
        </is>
      </c>
      <c r="E26" s="20" t="inlineStr">
        <is>
          <t>Não</t>
        </is>
      </c>
      <c r="F26" s="21" t="n">
        <v>45599</v>
      </c>
      <c r="G26" s="21" t="n">
        <v>45608</v>
      </c>
      <c r="H26" s="20" t="n">
        <v>9</v>
      </c>
      <c r="I26" s="20" t="inlineStr">
        <is>
          <t>Basic</t>
        </is>
      </c>
      <c r="J26" s="20" t="inlineStr">
        <is>
          <t>Anual</t>
        </is>
      </c>
      <c r="K26" s="20" t="n">
        <v>19</v>
      </c>
      <c r="L26" s="20" t="inlineStr">
        <is>
          <t>11–20</t>
        </is>
      </c>
      <c r="M26" s="20" t="inlineStr">
        <is>
          <t>US</t>
        </is>
      </c>
      <c r="N26" s="20" t="inlineStr">
        <is>
          <t>Troca/ajuste</t>
        </is>
      </c>
      <c r="O26" s="20" t="inlineStr">
        <is>
          <t>Redução</t>
        </is>
      </c>
      <c r="P26" s="20" t="inlineStr">
        <is>
          <t>Troca/ajuste</t>
        </is>
      </c>
      <c r="Q26" s="20" t="n">
        <v>1</v>
      </c>
      <c r="R26" s="20" t="inlineStr">
        <is>
          <t>S-f9a56a</t>
        </is>
      </c>
      <c r="S26" s="20" t="inlineStr">
        <is>
          <t>S-f9a56a</t>
        </is>
      </c>
      <c r="T26" s="20" t="inlineStr">
        <is>
          <t>Mesmo plano</t>
        </is>
      </c>
      <c r="U26" s="20" t="inlineStr">
        <is>
          <t>Mudou para mensal</t>
        </is>
      </c>
      <c r="V26" s="20" t="inlineStr">
        <is>
          <t>Mais seats</t>
        </is>
      </c>
      <c r="W26" s="20" t="inlineStr">
        <is>
          <t>Sim</t>
        </is>
      </c>
    </row>
    <row r="27">
      <c r="A27" s="20" t="inlineStr">
        <is>
          <t>S-abddce</t>
        </is>
      </c>
      <c r="B27" s="20" t="inlineStr">
        <is>
          <t>A-7d514c</t>
        </is>
      </c>
      <c r="C27" s="20" t="inlineStr">
        <is>
          <t>Lenta (30+ dias)</t>
        </is>
      </c>
      <c r="D27" s="20" t="inlineStr">
        <is>
          <t>Nov/24</t>
        </is>
      </c>
      <c r="E27" s="20" t="inlineStr">
        <is>
          <t>Não</t>
        </is>
      </c>
      <c r="F27" s="21" t="n">
        <v>45474</v>
      </c>
      <c r="G27" s="21" t="n">
        <v>45608</v>
      </c>
      <c r="H27" s="20" t="n">
        <v>134</v>
      </c>
      <c r="I27" s="20" t="inlineStr">
        <is>
          <t>Enterprise</t>
        </is>
      </c>
      <c r="J27" s="20" t="inlineStr">
        <is>
          <t>Mensal</t>
        </is>
      </c>
      <c r="K27" s="20" t="n">
        <v>43</v>
      </c>
      <c r="L27" s="20" t="inlineStr">
        <is>
          <t>41–80</t>
        </is>
      </c>
      <c r="M27" s="20" t="inlineStr">
        <is>
          <t>DE</t>
        </is>
      </c>
      <c r="N27" s="20" t="inlineStr">
        <is>
          <t>Troca/ajuste</t>
        </is>
      </c>
      <c r="O27" s="20" t="inlineStr">
        <is>
          <t>Redução</t>
        </is>
      </c>
      <c r="P27" s="20" t="inlineStr">
        <is>
          <t>Troca/ajuste</t>
        </is>
      </c>
      <c r="Q27" s="20" t="n">
        <v>7</v>
      </c>
      <c r="R27" s="20" t="inlineStr">
        <is>
          <t>S-9e6a18</t>
        </is>
      </c>
      <c r="S27" s="20" t="inlineStr">
        <is>
          <t>S-9e6a18</t>
        </is>
      </c>
      <c r="T27" s="20" t="inlineStr">
        <is>
          <t>Plano abaixo</t>
        </is>
      </c>
      <c r="U27" s="20" t="inlineStr">
        <is>
          <t>Mesma cobrança</t>
        </is>
      </c>
      <c r="V27" s="20" t="inlineStr">
        <is>
          <t>Menos seats</t>
        </is>
      </c>
      <c r="W27" s="20" t="inlineStr">
        <is>
          <t>Não</t>
        </is>
      </c>
    </row>
    <row r="28">
      <c r="A28" s="20" t="inlineStr">
        <is>
          <t>S-499ea3</t>
        </is>
      </c>
      <c r="B28" s="20" t="inlineStr">
        <is>
          <t>A-c16cf7</t>
        </is>
      </c>
      <c r="C28" s="20" t="inlineStr">
        <is>
          <t>Rápida (&lt; 30 dias)</t>
        </is>
      </c>
      <c r="D28" s="20" t="inlineStr">
        <is>
          <t>Nov/24</t>
        </is>
      </c>
      <c r="E28" s="20" t="inlineStr">
        <is>
          <t>Não</t>
        </is>
      </c>
      <c r="F28" s="21" t="n">
        <v>45586</v>
      </c>
      <c r="G28" s="21" t="n">
        <v>45608</v>
      </c>
      <c r="H28" s="20" t="n">
        <v>22</v>
      </c>
      <c r="I28" s="20" t="inlineStr">
        <is>
          <t>Enterprise</t>
        </is>
      </c>
      <c r="J28" s="20" t="inlineStr">
        <is>
          <t>Mensal</t>
        </is>
      </c>
      <c r="K28" s="20" t="n">
        <v>24</v>
      </c>
      <c r="L28" s="20" t="inlineStr">
        <is>
          <t>21–40</t>
        </is>
      </c>
      <c r="M28" s="20" t="inlineStr">
        <is>
          <t>US</t>
        </is>
      </c>
      <c r="N28" s="20" t="inlineStr">
        <is>
          <t>Troca/ajuste</t>
        </is>
      </c>
      <c r="O28" s="20" t="inlineStr">
        <is>
          <t>Troca/ajuste</t>
        </is>
      </c>
      <c r="P28" s="20" t="inlineStr">
        <is>
          <t>Troca/ajuste</t>
        </is>
      </c>
      <c r="Q28" s="20" t="n">
        <v>4</v>
      </c>
      <c r="R28" s="20" t="inlineStr">
        <is>
          <t>S-30bb47</t>
        </is>
      </c>
      <c r="S28" s="20" t="inlineStr">
        <is>
          <t>S-30bb47</t>
        </is>
      </c>
      <c r="T28" s="20" t="inlineStr">
        <is>
          <t>Mesmo plano</t>
        </is>
      </c>
      <c r="U28" s="20" t="inlineStr">
        <is>
          <t>Mudou para anual</t>
        </is>
      </c>
      <c r="V28" s="20" t="inlineStr">
        <is>
          <t>Menos seats</t>
        </is>
      </c>
      <c r="W28" s="20" t="inlineStr">
        <is>
          <t>Sim</t>
        </is>
      </c>
    </row>
    <row r="29">
      <c r="A29" s="20" t="inlineStr">
        <is>
          <t>S-59d90a</t>
        </is>
      </c>
      <c r="B29" s="20" t="inlineStr">
        <is>
          <t>A-aa9511</t>
        </is>
      </c>
      <c r="C29" s="20" t="inlineStr">
        <is>
          <t>Lenta (30+ dias)</t>
        </is>
      </c>
      <c r="D29" s="20" t="inlineStr">
        <is>
          <t>Nov/24</t>
        </is>
      </c>
      <c r="E29" s="20" t="inlineStr">
        <is>
          <t>Não</t>
        </is>
      </c>
      <c r="F29" s="21" t="n">
        <v>45532</v>
      </c>
      <c r="G29" s="21" t="n">
        <v>45609</v>
      </c>
      <c r="H29" s="20" t="n">
        <v>77</v>
      </c>
      <c r="I29" s="20" t="inlineStr">
        <is>
          <t>Pro</t>
        </is>
      </c>
      <c r="J29" s="20" t="inlineStr">
        <is>
          <t>Anual</t>
        </is>
      </c>
      <c r="K29" s="20" t="n">
        <v>29</v>
      </c>
      <c r="L29" s="20" t="inlineStr">
        <is>
          <t>21–40</t>
        </is>
      </c>
      <c r="M29" s="20" t="inlineStr">
        <is>
          <t>US</t>
        </is>
      </c>
      <c r="N29" s="20" t="inlineStr">
        <is>
          <t>Troca/ajuste</t>
        </is>
      </c>
      <c r="O29" s="20" t="inlineStr">
        <is>
          <t>Redução</t>
        </is>
      </c>
      <c r="P29" s="20" t="inlineStr">
        <is>
          <t>Troca/ajuste</t>
        </is>
      </c>
      <c r="Q29" s="20" t="n">
        <v>12</v>
      </c>
      <c r="R29" s="20" t="inlineStr">
        <is>
          <t>S-071ade</t>
        </is>
      </c>
      <c r="S29" s="20" t="inlineStr">
        <is>
          <t>S-071ade</t>
        </is>
      </c>
      <c r="T29" s="20" t="inlineStr">
        <is>
          <t>Plano abaixo</t>
        </is>
      </c>
      <c r="U29" s="20" t="inlineStr">
        <is>
          <t>Mesma cobrança</t>
        </is>
      </c>
      <c r="V29" s="20" t="inlineStr">
        <is>
          <t>Menos seats</t>
        </is>
      </c>
      <c r="W29" s="20" t="inlineStr">
        <is>
          <t>Não</t>
        </is>
      </c>
    </row>
    <row r="30">
      <c r="A30" s="20" t="inlineStr">
        <is>
          <t>S-ca1cb9</t>
        </is>
      </c>
      <c r="B30" s="20" t="inlineStr">
        <is>
          <t>A-5a215a</t>
        </is>
      </c>
      <c r="C30" s="20" t="inlineStr">
        <is>
          <t>Lenta (30+ dias)</t>
        </is>
      </c>
      <c r="D30" s="20" t="inlineStr">
        <is>
          <t>Nov/24</t>
        </is>
      </c>
      <c r="E30" s="20" t="inlineStr">
        <is>
          <t>Não</t>
        </is>
      </c>
      <c r="F30" s="21" t="n">
        <v>45551</v>
      </c>
      <c r="G30" s="21" t="n">
        <v>45609</v>
      </c>
      <c r="H30" s="20" t="n">
        <v>58</v>
      </c>
      <c r="I30" s="20" t="inlineStr">
        <is>
          <t>Enterprise</t>
        </is>
      </c>
      <c r="J30" s="20" t="inlineStr">
        <is>
          <t>Anual</t>
        </is>
      </c>
      <c r="K30" s="20" t="n">
        <v>87</v>
      </c>
      <c r="L30" s="20" t="inlineStr">
        <is>
          <t>81 ou mais</t>
        </is>
      </c>
      <c r="M30" s="20" t="inlineStr">
        <is>
          <t>FR</t>
        </is>
      </c>
      <c r="N30" s="20" t="inlineStr">
        <is>
          <t>Redução</t>
        </is>
      </c>
      <c r="O30" s="20" t="inlineStr">
        <is>
          <t>Redução</t>
        </is>
      </c>
      <c r="P30" s="20" t="inlineStr">
        <is>
          <t>Troca/ajuste</t>
        </is>
      </c>
      <c r="Q30" s="20" t="n">
        <v>13</v>
      </c>
      <c r="R30" s="20" t="inlineStr"/>
      <c r="S30" s="20" t="inlineStr"/>
      <c r="T30" s="20" t="inlineStr"/>
      <c r="U30" s="20" t="inlineStr"/>
      <c r="V30" s="20" t="inlineStr"/>
      <c r="W30" s="20" t="inlineStr">
        <is>
          <t>Não</t>
        </is>
      </c>
    </row>
    <row r="31">
      <c r="A31" s="20" t="inlineStr">
        <is>
          <t>S-766d8b</t>
        </is>
      </c>
      <c r="B31" s="20" t="inlineStr">
        <is>
          <t>A-82861f</t>
        </is>
      </c>
      <c r="C31" s="20" t="inlineStr">
        <is>
          <t>Lenta (30+ dias)</t>
        </is>
      </c>
      <c r="D31" s="20" t="inlineStr">
        <is>
          <t>Nov/24</t>
        </is>
      </c>
      <c r="E31" s="20" t="inlineStr">
        <is>
          <t>Não</t>
        </is>
      </c>
      <c r="F31" s="21" t="n">
        <v>45439</v>
      </c>
      <c r="G31" s="21" t="n">
        <v>45611</v>
      </c>
      <c r="H31" s="20" t="n">
        <v>172</v>
      </c>
      <c r="I31" s="20" t="inlineStr">
        <is>
          <t>Enterprise</t>
        </is>
      </c>
      <c r="J31" s="20" t="inlineStr">
        <is>
          <t>Mensal</t>
        </is>
      </c>
      <c r="K31" s="20" t="n">
        <v>41</v>
      </c>
      <c r="L31" s="20" t="inlineStr">
        <is>
          <t>41–80</t>
        </is>
      </c>
      <c r="M31" s="20" t="inlineStr">
        <is>
          <t>UK</t>
        </is>
      </c>
      <c r="N31" s="20" t="inlineStr">
        <is>
          <t>Troca/ajuste</t>
        </is>
      </c>
      <c r="O31" s="20" t="inlineStr">
        <is>
          <t>Redução</t>
        </is>
      </c>
      <c r="P31" s="20" t="inlineStr">
        <is>
          <t>Troca/ajuste</t>
        </is>
      </c>
      <c r="Q31" s="20" t="n">
        <v>6</v>
      </c>
      <c r="R31" s="20" t="inlineStr">
        <is>
          <t>S-c51ab8</t>
        </is>
      </c>
      <c r="S31" s="20" t="inlineStr">
        <is>
          <t>S-c51ab8</t>
        </is>
      </c>
      <c r="T31" s="20" t="inlineStr">
        <is>
          <t>Mesmo plano</t>
        </is>
      </c>
      <c r="U31" s="20" t="inlineStr">
        <is>
          <t>Mudou para anual</t>
        </is>
      </c>
      <c r="V31" s="20" t="inlineStr">
        <is>
          <t>Mesmos seats</t>
        </is>
      </c>
      <c r="W31" s="20" t="inlineStr">
        <is>
          <t>Não</t>
        </is>
      </c>
    </row>
    <row r="32">
      <c r="A32" s="20" t="inlineStr">
        <is>
          <t>S-d91f4c</t>
        </is>
      </c>
      <c r="B32" s="20" t="inlineStr">
        <is>
          <t>A-1b7577</t>
        </is>
      </c>
      <c r="C32" s="20" t="inlineStr">
        <is>
          <t>Rápida (&lt; 30 dias)</t>
        </is>
      </c>
      <c r="D32" s="20" t="inlineStr">
        <is>
          <t>Nov/24</t>
        </is>
      </c>
      <c r="E32" s="20" t="inlineStr">
        <is>
          <t>Não</t>
        </is>
      </c>
      <c r="F32" s="21" t="n">
        <v>45611</v>
      </c>
      <c r="G32" s="21" t="n">
        <v>45611</v>
      </c>
      <c r="H32" s="20" t="n">
        <v>0</v>
      </c>
      <c r="I32" s="20" t="inlineStr">
        <is>
          <t>Basic</t>
        </is>
      </c>
      <c r="J32" s="20" t="inlineStr">
        <is>
          <t>Mensal</t>
        </is>
      </c>
      <c r="K32" s="20" t="n">
        <v>10</v>
      </c>
      <c r="L32" s="20" t="inlineStr">
        <is>
          <t>06–10</t>
        </is>
      </c>
      <c r="M32" s="20" t="inlineStr">
        <is>
          <t>US</t>
        </is>
      </c>
      <c r="N32" s="20" t="inlineStr">
        <is>
          <t>Troca/ajuste</t>
        </is>
      </c>
      <c r="O32" s="20" t="inlineStr">
        <is>
          <t>Troca/ajuste</t>
        </is>
      </c>
      <c r="P32" s="20" t="inlineStr">
        <is>
          <t>Troca/ajuste</t>
        </is>
      </c>
      <c r="Q32" s="20" t="n">
        <v>4</v>
      </c>
      <c r="R32" s="20" t="inlineStr">
        <is>
          <t>S-467d4a, S-06770c</t>
        </is>
      </c>
      <c r="S32" s="20" t="inlineStr">
        <is>
          <t>S-06770c</t>
        </is>
      </c>
      <c r="T32" s="20" t="inlineStr">
        <is>
          <t>Mesmo plano</t>
        </is>
      </c>
      <c r="U32" s="20" t="inlineStr">
        <is>
          <t>Mesma cobrança</t>
        </is>
      </c>
      <c r="V32" s="20" t="inlineStr">
        <is>
          <t>Mais seats</t>
        </is>
      </c>
      <c r="W32" s="20" t="inlineStr">
        <is>
          <t>Não</t>
        </is>
      </c>
    </row>
    <row r="33">
      <c r="A33" s="20" t="inlineStr">
        <is>
          <t>S-f4019e</t>
        </is>
      </c>
      <c r="B33" s="20" t="inlineStr">
        <is>
          <t>A-7988d1</t>
        </is>
      </c>
      <c r="C33" s="20" t="inlineStr">
        <is>
          <t>Lenta (30+ dias)</t>
        </is>
      </c>
      <c r="D33" s="20" t="inlineStr">
        <is>
          <t>Nov/24</t>
        </is>
      </c>
      <c r="E33" s="20" t="inlineStr">
        <is>
          <t>Não</t>
        </is>
      </c>
      <c r="F33" s="21" t="n">
        <v>45563</v>
      </c>
      <c r="G33" s="21" t="n">
        <v>45612</v>
      </c>
      <c r="H33" s="20" t="n">
        <v>49</v>
      </c>
      <c r="I33" s="20" t="inlineStr">
        <is>
          <t>Basic</t>
        </is>
      </c>
      <c r="J33" s="20" t="inlineStr">
        <is>
          <t>Mensal</t>
        </is>
      </c>
      <c r="K33" s="20" t="n">
        <v>33</v>
      </c>
      <c r="L33" s="20" t="inlineStr">
        <is>
          <t>21–40</t>
        </is>
      </c>
      <c r="M33" s="20" t="inlineStr">
        <is>
          <t>US</t>
        </is>
      </c>
      <c r="N33" s="20" t="inlineStr">
        <is>
          <t>Redução</t>
        </is>
      </c>
      <c r="O33" s="20" t="inlineStr">
        <is>
          <t>Redução</t>
        </is>
      </c>
      <c r="P33" s="20" t="inlineStr">
        <is>
          <t>Redução</t>
        </is>
      </c>
      <c r="Q33" s="20" t="n">
        <v>7</v>
      </c>
      <c r="R33" s="20" t="inlineStr"/>
      <c r="S33" s="20" t="inlineStr"/>
      <c r="T33" s="20" t="inlineStr"/>
      <c r="U33" s="20" t="inlineStr"/>
      <c r="V33" s="20" t="inlineStr"/>
      <c r="W33" s="20" t="inlineStr">
        <is>
          <t>Sim</t>
        </is>
      </c>
    </row>
    <row r="34">
      <c r="A34" s="20" t="inlineStr">
        <is>
          <t>S-32e881</t>
        </is>
      </c>
      <c r="B34" s="20" t="inlineStr">
        <is>
          <t>A-029f69</t>
        </is>
      </c>
      <c r="C34" s="20" t="inlineStr">
        <is>
          <t>Lenta (30+ dias)</t>
        </is>
      </c>
      <c r="D34" s="20" t="inlineStr">
        <is>
          <t>Nov/24</t>
        </is>
      </c>
      <c r="E34" s="20" t="inlineStr">
        <is>
          <t>Não</t>
        </is>
      </c>
      <c r="F34" s="21" t="n">
        <v>45575</v>
      </c>
      <c r="G34" s="21" t="n">
        <v>45612</v>
      </c>
      <c r="H34" s="20" t="n">
        <v>37</v>
      </c>
      <c r="I34" s="20" t="inlineStr">
        <is>
          <t>Pro</t>
        </is>
      </c>
      <c r="J34" s="20" t="inlineStr">
        <is>
          <t>Mensal</t>
        </is>
      </c>
      <c r="K34" s="20" t="n">
        <v>3</v>
      </c>
      <c r="L34" s="20" t="inlineStr">
        <is>
          <t>01–05</t>
        </is>
      </c>
      <c r="M34" s="20" t="inlineStr">
        <is>
          <t>CA</t>
        </is>
      </c>
      <c r="N34" s="20" t="inlineStr">
        <is>
          <t>Troca/ajuste</t>
        </is>
      </c>
      <c r="O34" s="20" t="inlineStr">
        <is>
          <t>Troca/ajuste</t>
        </is>
      </c>
      <c r="P34" s="20" t="inlineStr">
        <is>
          <t>Troca/ajuste</t>
        </is>
      </c>
      <c r="Q34" s="20" t="n">
        <v>9</v>
      </c>
      <c r="R34" s="20" t="inlineStr">
        <is>
          <t>S-e07b30, S-e6dee4</t>
        </is>
      </c>
      <c r="S34" s="20" t="inlineStr">
        <is>
          <t>S-e07b30</t>
        </is>
      </c>
      <c r="T34" s="20" t="inlineStr">
        <is>
          <t>Mesmo plano</t>
        </is>
      </c>
      <c r="U34" s="20" t="inlineStr">
        <is>
          <t>Mudou para anual</t>
        </is>
      </c>
      <c r="V34" s="20" t="inlineStr">
        <is>
          <t>Mesmos seats</t>
        </is>
      </c>
      <c r="W34" s="20" t="inlineStr">
        <is>
          <t>Sim</t>
        </is>
      </c>
    </row>
    <row r="35">
      <c r="A35" s="20" t="inlineStr">
        <is>
          <t>S-3c52a6</t>
        </is>
      </c>
      <c r="B35" s="20" t="inlineStr">
        <is>
          <t>A-2f6a32</t>
        </is>
      </c>
      <c r="C35" s="20" t="inlineStr">
        <is>
          <t>Lenta (30+ dias)</t>
        </is>
      </c>
      <c r="D35" s="20" t="inlineStr">
        <is>
          <t>Nov/24</t>
        </is>
      </c>
      <c r="E35" s="20" t="inlineStr">
        <is>
          <t>Não</t>
        </is>
      </c>
      <c r="F35" s="21" t="n">
        <v>45560</v>
      </c>
      <c r="G35" s="21" t="n">
        <v>45612</v>
      </c>
      <c r="H35" s="20" t="n">
        <v>52</v>
      </c>
      <c r="I35" s="20" t="inlineStr">
        <is>
          <t>Basic</t>
        </is>
      </c>
      <c r="J35" s="20" t="inlineStr">
        <is>
          <t>Anual</t>
        </is>
      </c>
      <c r="K35" s="20" t="n">
        <v>19</v>
      </c>
      <c r="L35" s="20" t="inlineStr">
        <is>
          <t>11–20</t>
        </is>
      </c>
      <c r="M35" s="20" t="inlineStr">
        <is>
          <t>US</t>
        </is>
      </c>
      <c r="N35" s="20" t="inlineStr">
        <is>
          <t>Troca/ajuste</t>
        </is>
      </c>
      <c r="O35" s="20" t="inlineStr">
        <is>
          <t>Troca/ajuste</t>
        </is>
      </c>
      <c r="P35" s="20" t="inlineStr">
        <is>
          <t>Troca/ajuste</t>
        </is>
      </c>
      <c r="Q35" s="20" t="n">
        <v>6</v>
      </c>
      <c r="R35" s="20" t="inlineStr">
        <is>
          <t>S-a1e688, S-f4e6c0</t>
        </is>
      </c>
      <c r="S35" s="20" t="inlineStr">
        <is>
          <t>S-f4e6c0</t>
        </is>
      </c>
      <c r="T35" s="20" t="inlineStr">
        <is>
          <t>Mesmo plano</t>
        </is>
      </c>
      <c r="U35" s="20" t="inlineStr">
        <is>
          <t>Mudou para mensal</t>
        </is>
      </c>
      <c r="V35" s="20" t="inlineStr">
        <is>
          <t>Mesmos seats</t>
        </is>
      </c>
      <c r="W35" s="20" t="inlineStr">
        <is>
          <t>Não</t>
        </is>
      </c>
    </row>
    <row r="36">
      <c r="A36" s="20" t="inlineStr">
        <is>
          <t>S-7f8cd8</t>
        </is>
      </c>
      <c r="B36" s="20" t="inlineStr">
        <is>
          <t>A-53f4e3</t>
        </is>
      </c>
      <c r="C36" s="20" t="inlineStr">
        <is>
          <t>Lenta (30+ dias)</t>
        </is>
      </c>
      <c r="D36" s="20" t="inlineStr">
        <is>
          <t>Nov/24</t>
        </is>
      </c>
      <c r="E36" s="20" t="inlineStr">
        <is>
          <t>Não</t>
        </is>
      </c>
      <c r="F36" s="21" t="n">
        <v>45553</v>
      </c>
      <c r="G36" s="21" t="n">
        <v>45613</v>
      </c>
      <c r="H36" s="20" t="n">
        <v>60</v>
      </c>
      <c r="I36" s="20" t="inlineStr">
        <is>
          <t>Enterprise</t>
        </is>
      </c>
      <c r="J36" s="20" t="inlineStr">
        <is>
          <t>Mensal</t>
        </is>
      </c>
      <c r="K36" s="20" t="n">
        <v>20</v>
      </c>
      <c r="L36" s="20" t="inlineStr">
        <is>
          <t>11–20</t>
        </is>
      </c>
      <c r="M36" s="20" t="inlineStr">
        <is>
          <t>UK</t>
        </is>
      </c>
      <c r="N36" s="20" t="inlineStr">
        <is>
          <t>Redução</t>
        </is>
      </c>
      <c r="O36" s="20" t="inlineStr">
        <is>
          <t>Redução</t>
        </is>
      </c>
      <c r="P36" s="20" t="inlineStr">
        <is>
          <t>Troca/ajuste</t>
        </is>
      </c>
      <c r="Q36" s="20" t="n">
        <v>5</v>
      </c>
      <c r="R36" s="20" t="inlineStr"/>
      <c r="S36" s="20" t="inlineStr"/>
      <c r="T36" s="20" t="inlineStr"/>
      <c r="U36" s="20" t="inlineStr"/>
      <c r="V36" s="20" t="inlineStr"/>
      <c r="W36" s="20" t="inlineStr">
        <is>
          <t>Sim</t>
        </is>
      </c>
    </row>
    <row r="37">
      <c r="A37" s="20" t="inlineStr">
        <is>
          <t>S-369495</t>
        </is>
      </c>
      <c r="B37" s="20" t="inlineStr">
        <is>
          <t>A-b3fe05</t>
        </is>
      </c>
      <c r="C37" s="20" t="inlineStr">
        <is>
          <t>Rápida (&lt; 30 dias)</t>
        </is>
      </c>
      <c r="D37" s="20" t="inlineStr">
        <is>
          <t>Nov/24</t>
        </is>
      </c>
      <c r="E37" s="20" t="inlineStr">
        <is>
          <t>Não</t>
        </is>
      </c>
      <c r="F37" s="21" t="n">
        <v>45585</v>
      </c>
      <c r="G37" s="21" t="n">
        <v>45614</v>
      </c>
      <c r="H37" s="20" t="n">
        <v>29</v>
      </c>
      <c r="I37" s="20" t="inlineStr">
        <is>
          <t>Pro</t>
        </is>
      </c>
      <c r="J37" s="20" t="inlineStr">
        <is>
          <t>Mensal</t>
        </is>
      </c>
      <c r="K37" s="20" t="n">
        <v>8</v>
      </c>
      <c r="L37" s="20" t="inlineStr">
        <is>
          <t>06–10</t>
        </is>
      </c>
      <c r="M37" s="20" t="inlineStr">
        <is>
          <t>CA</t>
        </is>
      </c>
      <c r="N37" s="20" t="inlineStr">
        <is>
          <t>Troca/ajuste</t>
        </is>
      </c>
      <c r="O37" s="20" t="inlineStr">
        <is>
          <t>Redução</t>
        </is>
      </c>
      <c r="P37" s="20" t="inlineStr">
        <is>
          <t>Troca/ajuste</t>
        </is>
      </c>
      <c r="Q37" s="20" t="n">
        <v>7</v>
      </c>
      <c r="R37" s="20" t="inlineStr">
        <is>
          <t>S-275d57</t>
        </is>
      </c>
      <c r="S37" s="20" t="inlineStr">
        <is>
          <t>S-275d57</t>
        </is>
      </c>
      <c r="T37" s="20" t="inlineStr">
        <is>
          <t>Plano abaixo</t>
        </is>
      </c>
      <c r="U37" s="20" t="inlineStr">
        <is>
          <t>Mesma cobrança</t>
        </is>
      </c>
      <c r="V37" s="20" t="inlineStr">
        <is>
          <t>Mais seats</t>
        </is>
      </c>
      <c r="W37" s="20" t="inlineStr">
        <is>
          <t>Não</t>
        </is>
      </c>
    </row>
    <row r="38">
      <c r="A38" s="20" t="inlineStr">
        <is>
          <t>S-8e5ceb</t>
        </is>
      </c>
      <c r="B38" s="20" t="inlineStr">
        <is>
          <t>A-7f4db3</t>
        </is>
      </c>
      <c r="C38" s="20" t="inlineStr">
        <is>
          <t>Rápida (&lt; 30 dias)</t>
        </is>
      </c>
      <c r="D38" s="20" t="inlineStr">
        <is>
          <t>Nov/24</t>
        </is>
      </c>
      <c r="E38" s="20" t="inlineStr">
        <is>
          <t>Não</t>
        </is>
      </c>
      <c r="F38" s="21" t="n">
        <v>45603</v>
      </c>
      <c r="G38" s="21" t="n">
        <v>45614</v>
      </c>
      <c r="H38" s="20" t="n">
        <v>11</v>
      </c>
      <c r="I38" s="20" t="inlineStr">
        <is>
          <t>Enterprise</t>
        </is>
      </c>
      <c r="J38" s="20" t="inlineStr">
        <is>
          <t>Mensal</t>
        </is>
      </c>
      <c r="K38" s="20" t="n">
        <v>9</v>
      </c>
      <c r="L38" s="20" t="inlineStr">
        <is>
          <t>06–10</t>
        </is>
      </c>
      <c r="M38" s="20" t="inlineStr">
        <is>
          <t>US</t>
        </is>
      </c>
      <c r="N38" s="20" t="inlineStr">
        <is>
          <t>Redução</t>
        </is>
      </c>
      <c r="O38" s="20" t="inlineStr">
        <is>
          <t>Redução</t>
        </is>
      </c>
      <c r="P38" s="20" t="inlineStr">
        <is>
          <t>Troca/ajuste</t>
        </is>
      </c>
      <c r="Q38" s="20" t="n">
        <v>12</v>
      </c>
      <c r="R38" s="20" t="inlineStr"/>
      <c r="S38" s="20" t="inlineStr"/>
      <c r="T38" s="20" t="inlineStr"/>
      <c r="U38" s="20" t="inlineStr"/>
      <c r="V38" s="20" t="inlineStr"/>
      <c r="W38" s="20" t="inlineStr">
        <is>
          <t>Não</t>
        </is>
      </c>
    </row>
    <row r="39">
      <c r="A39" s="20" t="inlineStr">
        <is>
          <t>S-d3f138</t>
        </is>
      </c>
      <c r="B39" s="20" t="inlineStr">
        <is>
          <t>A-560d27</t>
        </is>
      </c>
      <c r="C39" s="20" t="inlineStr">
        <is>
          <t>Rápida (&lt; 30 dias)</t>
        </is>
      </c>
      <c r="D39" s="20" t="inlineStr">
        <is>
          <t>Nov/24</t>
        </is>
      </c>
      <c r="E39" s="20" t="inlineStr">
        <is>
          <t>Não</t>
        </is>
      </c>
      <c r="F39" s="21" t="n">
        <v>45586</v>
      </c>
      <c r="G39" s="21" t="n">
        <v>45614</v>
      </c>
      <c r="H39" s="20" t="n">
        <v>28</v>
      </c>
      <c r="I39" s="20" t="inlineStr">
        <is>
          <t>Enterprise</t>
        </is>
      </c>
      <c r="J39" s="20" t="inlineStr">
        <is>
          <t>Mensal</t>
        </is>
      </c>
      <c r="K39" s="20" t="n">
        <v>23</v>
      </c>
      <c r="L39" s="20" t="inlineStr">
        <is>
          <t>21–40</t>
        </is>
      </c>
      <c r="M39" s="20" t="inlineStr">
        <is>
          <t>US</t>
        </is>
      </c>
      <c r="N39" s="20" t="inlineStr">
        <is>
          <t>Troca/ajuste</t>
        </is>
      </c>
      <c r="O39" s="20" t="inlineStr">
        <is>
          <t>Troca/ajuste</t>
        </is>
      </c>
      <c r="P39" s="20" t="inlineStr">
        <is>
          <t>Troca/ajuste</t>
        </is>
      </c>
      <c r="Q39" s="20" t="n">
        <v>10</v>
      </c>
      <c r="R39" s="20" t="inlineStr">
        <is>
          <t>S-cb54dc, S-a603dd</t>
        </is>
      </c>
      <c r="S39" s="20" t="inlineStr">
        <is>
          <t>S-cb54dc</t>
        </is>
      </c>
      <c r="T39" s="20" t="inlineStr">
        <is>
          <t>Mesmo plano</t>
        </is>
      </c>
      <c r="U39" s="20" t="inlineStr">
        <is>
          <t>Mudou para anual</t>
        </is>
      </c>
      <c r="V39" s="20" t="inlineStr">
        <is>
          <t>Mais seats</t>
        </is>
      </c>
      <c r="W39" s="20" t="inlineStr">
        <is>
          <t>Não</t>
        </is>
      </c>
    </row>
    <row r="40">
      <c r="A40" s="20" t="inlineStr">
        <is>
          <t>S-befdba</t>
        </is>
      </c>
      <c r="B40" s="20" t="inlineStr">
        <is>
          <t>A-ff79f2</t>
        </is>
      </c>
      <c r="C40" s="20" t="inlineStr">
        <is>
          <t>Rápida (&lt; 30 dias)</t>
        </is>
      </c>
      <c r="D40" s="20" t="inlineStr">
        <is>
          <t>Nov/24</t>
        </is>
      </c>
      <c r="E40" s="20" t="inlineStr">
        <is>
          <t>Não</t>
        </is>
      </c>
      <c r="F40" s="21" t="n">
        <v>45611</v>
      </c>
      <c r="G40" s="21" t="n">
        <v>45615</v>
      </c>
      <c r="H40" s="20" t="n">
        <v>4</v>
      </c>
      <c r="I40" s="20" t="inlineStr">
        <is>
          <t>Basic</t>
        </is>
      </c>
      <c r="J40" s="20" t="inlineStr">
        <is>
          <t>Anual</t>
        </is>
      </c>
      <c r="K40" s="20" t="n">
        <v>36</v>
      </c>
      <c r="L40" s="20" t="inlineStr">
        <is>
          <t>21–40</t>
        </is>
      </c>
      <c r="M40" s="20" t="inlineStr">
        <is>
          <t>US</t>
        </is>
      </c>
      <c r="N40" s="20" t="inlineStr">
        <is>
          <t>Redução</t>
        </is>
      </c>
      <c r="O40" s="20" t="inlineStr">
        <is>
          <t>Redução</t>
        </is>
      </c>
      <c r="P40" s="20" t="inlineStr">
        <is>
          <t>Redução</t>
        </is>
      </c>
      <c r="Q40" s="20" t="n">
        <v>6</v>
      </c>
      <c r="R40" s="20" t="inlineStr"/>
      <c r="S40" s="20" t="inlineStr"/>
      <c r="T40" s="20" t="inlineStr"/>
      <c r="U40" s="20" t="inlineStr"/>
      <c r="V40" s="20" t="inlineStr"/>
      <c r="W40" s="20" t="inlineStr">
        <is>
          <t>Não</t>
        </is>
      </c>
    </row>
    <row r="41">
      <c r="A41" s="20" t="inlineStr">
        <is>
          <t>S-703faf</t>
        </is>
      </c>
      <c r="B41" s="20" t="inlineStr">
        <is>
          <t>A-b7724f</t>
        </is>
      </c>
      <c r="C41" s="20" t="inlineStr">
        <is>
          <t>Lenta (30+ dias)</t>
        </is>
      </c>
      <c r="D41" s="20" t="inlineStr">
        <is>
          <t>Nov/24</t>
        </is>
      </c>
      <c r="E41" s="20" t="inlineStr">
        <is>
          <t>Não</t>
        </is>
      </c>
      <c r="F41" s="21" t="n">
        <v>45555</v>
      </c>
      <c r="G41" s="21" t="n">
        <v>45615</v>
      </c>
      <c r="H41" s="20" t="n">
        <v>60</v>
      </c>
      <c r="I41" s="20" t="inlineStr">
        <is>
          <t>Basic</t>
        </is>
      </c>
      <c r="J41" s="20" t="inlineStr">
        <is>
          <t>Mensal</t>
        </is>
      </c>
      <c r="K41" s="20" t="n">
        <v>10</v>
      </c>
      <c r="L41" s="20" t="inlineStr">
        <is>
          <t>06–10</t>
        </is>
      </c>
      <c r="M41" s="20" t="inlineStr">
        <is>
          <t>UK</t>
        </is>
      </c>
      <c r="N41" s="20" t="inlineStr">
        <is>
          <t>Redução</t>
        </is>
      </c>
      <c r="O41" s="20" t="inlineStr">
        <is>
          <t>Redução</t>
        </is>
      </c>
      <c r="P41" s="20" t="inlineStr">
        <is>
          <t>Redução</t>
        </is>
      </c>
      <c r="Q41" s="20" t="n">
        <v>4</v>
      </c>
      <c r="R41" s="20" t="inlineStr"/>
      <c r="S41" s="20" t="inlineStr"/>
      <c r="T41" s="20" t="inlineStr"/>
      <c r="U41" s="20" t="inlineStr"/>
      <c r="V41" s="20" t="inlineStr"/>
      <c r="W41" s="20" t="inlineStr">
        <is>
          <t>Não</t>
        </is>
      </c>
    </row>
    <row r="42">
      <c r="A42" s="20" t="inlineStr">
        <is>
          <t>S-c7f2e5</t>
        </is>
      </c>
      <c r="B42" s="20" t="inlineStr">
        <is>
          <t>A-34ea2f</t>
        </is>
      </c>
      <c r="C42" s="20" t="inlineStr">
        <is>
          <t>Rápida (&lt; 30 dias)</t>
        </is>
      </c>
      <c r="D42" s="20" t="inlineStr">
        <is>
          <t>Nov/24</t>
        </is>
      </c>
      <c r="E42" s="20" t="inlineStr">
        <is>
          <t>Não</t>
        </is>
      </c>
      <c r="F42" s="21" t="n">
        <v>45605</v>
      </c>
      <c r="G42" s="21" t="n">
        <v>45615</v>
      </c>
      <c r="H42" s="20" t="n">
        <v>10</v>
      </c>
      <c r="I42" s="20" t="inlineStr">
        <is>
          <t>Enterprise</t>
        </is>
      </c>
      <c r="J42" s="20" t="inlineStr">
        <is>
          <t>Anual</t>
        </is>
      </c>
      <c r="K42" s="20" t="n">
        <v>21</v>
      </c>
      <c r="L42" s="20" t="inlineStr">
        <is>
          <t>21–40</t>
        </is>
      </c>
      <c r="M42" s="20" t="inlineStr">
        <is>
          <t>US</t>
        </is>
      </c>
      <c r="N42" s="20" t="inlineStr">
        <is>
          <t>Troca/ajuste</t>
        </is>
      </c>
      <c r="O42" s="20" t="inlineStr">
        <is>
          <t>Troca/ajuste</t>
        </is>
      </c>
      <c r="P42" s="20" t="inlineStr">
        <is>
          <t>Troca/ajuste</t>
        </is>
      </c>
      <c r="Q42" s="20" t="n">
        <v>9</v>
      </c>
      <c r="R42" s="20" t="inlineStr">
        <is>
          <t>S-8c8315</t>
        </is>
      </c>
      <c r="S42" s="20" t="inlineStr">
        <is>
          <t>S-8c8315</t>
        </is>
      </c>
      <c r="T42" s="20" t="inlineStr">
        <is>
          <t>Plano abaixo</t>
        </is>
      </c>
      <c r="U42" s="20" t="inlineStr">
        <is>
          <t>Mesma cobrança</t>
        </is>
      </c>
      <c r="V42" s="20" t="inlineStr">
        <is>
          <t>Menos seats</t>
        </is>
      </c>
      <c r="W42" s="20" t="inlineStr">
        <is>
          <t>Não</t>
        </is>
      </c>
    </row>
    <row r="43">
      <c r="A43" s="20" t="inlineStr">
        <is>
          <t>S-d6d433</t>
        </is>
      </c>
      <c r="B43" s="20" t="inlineStr">
        <is>
          <t>A-5247b3</t>
        </is>
      </c>
      <c r="C43" s="20" t="inlineStr">
        <is>
          <t>Lenta (30+ dias)</t>
        </is>
      </c>
      <c r="D43" s="20" t="inlineStr">
        <is>
          <t>Nov/24</t>
        </is>
      </c>
      <c r="E43" s="20" t="inlineStr">
        <is>
          <t>Não</t>
        </is>
      </c>
      <c r="F43" s="21" t="n">
        <v>45457</v>
      </c>
      <c r="G43" s="21" t="n">
        <v>45615</v>
      </c>
      <c r="H43" s="20" t="n">
        <v>158</v>
      </c>
      <c r="I43" s="20" t="inlineStr">
        <is>
          <t>Basic</t>
        </is>
      </c>
      <c r="J43" s="20" t="inlineStr">
        <is>
          <t>Anual</t>
        </is>
      </c>
      <c r="K43" s="20" t="n">
        <v>16</v>
      </c>
      <c r="L43" s="20" t="inlineStr">
        <is>
          <t>11–20</t>
        </is>
      </c>
      <c r="M43" s="20" t="inlineStr">
        <is>
          <t>UK</t>
        </is>
      </c>
      <c r="N43" s="20" t="inlineStr">
        <is>
          <t>Troca/ajuste</t>
        </is>
      </c>
      <c r="O43" s="20" t="inlineStr">
        <is>
          <t>Redução</t>
        </is>
      </c>
      <c r="P43" s="20" t="inlineStr">
        <is>
          <t>Troca/ajuste</t>
        </is>
      </c>
      <c r="Q43" s="20" t="n">
        <v>9</v>
      </c>
      <c r="R43" s="20" t="inlineStr">
        <is>
          <t>S-d0429b</t>
        </is>
      </c>
      <c r="S43" s="20" t="inlineStr">
        <is>
          <t>S-d0429b</t>
        </is>
      </c>
      <c r="T43" s="20" t="inlineStr">
        <is>
          <t>Mesmo plano</t>
        </is>
      </c>
      <c r="U43" s="20" t="inlineStr">
        <is>
          <t>Mesma cobrança</t>
        </is>
      </c>
      <c r="V43" s="20" t="inlineStr">
        <is>
          <t>Mais seats</t>
        </is>
      </c>
      <c r="W43" s="20" t="inlineStr">
        <is>
          <t>Não</t>
        </is>
      </c>
    </row>
    <row r="44">
      <c r="A44" s="20" t="inlineStr">
        <is>
          <t>S-b8fcc5</t>
        </is>
      </c>
      <c r="B44" s="20" t="inlineStr">
        <is>
          <t>A-dbc825</t>
        </is>
      </c>
      <c r="C44" s="20" t="inlineStr">
        <is>
          <t>Lenta (30+ dias)</t>
        </is>
      </c>
      <c r="D44" s="20" t="inlineStr">
        <is>
          <t>Nov/24</t>
        </is>
      </c>
      <c r="E44" s="20" t="inlineStr">
        <is>
          <t>Não</t>
        </is>
      </c>
      <c r="F44" s="21" t="n">
        <v>45472</v>
      </c>
      <c r="G44" s="21" t="n">
        <v>45616</v>
      </c>
      <c r="H44" s="20" t="n">
        <v>144</v>
      </c>
      <c r="I44" s="20" t="inlineStr">
        <is>
          <t>Basic</t>
        </is>
      </c>
      <c r="J44" s="20" t="inlineStr">
        <is>
          <t>Anual</t>
        </is>
      </c>
      <c r="K44" s="20" t="n">
        <v>85</v>
      </c>
      <c r="L44" s="20" t="inlineStr">
        <is>
          <t>81 ou mais</t>
        </is>
      </c>
      <c r="M44" s="20" t="inlineStr">
        <is>
          <t>FR</t>
        </is>
      </c>
      <c r="N44" s="20" t="inlineStr">
        <is>
          <t>Troca/ajuste</t>
        </is>
      </c>
      <c r="O44" s="20" t="inlineStr">
        <is>
          <t>Redução</t>
        </is>
      </c>
      <c r="P44" s="20" t="inlineStr">
        <is>
          <t>Troca/ajuste</t>
        </is>
      </c>
      <c r="Q44" s="20" t="n">
        <v>12</v>
      </c>
      <c r="R44" s="20" t="inlineStr">
        <is>
          <t>S-cd6bb6</t>
        </is>
      </c>
      <c r="S44" s="20" t="inlineStr">
        <is>
          <t>S-cd6bb6</t>
        </is>
      </c>
      <c r="T44" s="20" t="inlineStr">
        <is>
          <t>Mesmo plano</t>
        </is>
      </c>
      <c r="U44" s="20" t="inlineStr">
        <is>
          <t>Mesma cobrança</t>
        </is>
      </c>
      <c r="V44" s="20" t="inlineStr">
        <is>
          <t>Menos seats</t>
        </is>
      </c>
      <c r="W44" s="20" t="inlineStr">
        <is>
          <t>Não</t>
        </is>
      </c>
    </row>
    <row r="45">
      <c r="A45" s="20" t="inlineStr">
        <is>
          <t>S-c8fd93</t>
        </is>
      </c>
      <c r="B45" s="20" t="inlineStr">
        <is>
          <t>A-0354fe</t>
        </is>
      </c>
      <c r="C45" s="20" t="inlineStr">
        <is>
          <t>Rápida (&lt; 30 dias)</t>
        </is>
      </c>
      <c r="D45" s="20" t="inlineStr">
        <is>
          <t>Nov/24</t>
        </is>
      </c>
      <c r="E45" s="20" t="inlineStr">
        <is>
          <t>Não</t>
        </is>
      </c>
      <c r="F45" s="21" t="n">
        <v>45612</v>
      </c>
      <c r="G45" s="21" t="n">
        <v>45616</v>
      </c>
      <c r="H45" s="20" t="n">
        <v>4</v>
      </c>
      <c r="I45" s="20" t="inlineStr">
        <is>
          <t>Basic</t>
        </is>
      </c>
      <c r="J45" s="20" t="inlineStr">
        <is>
          <t>Mensal</t>
        </is>
      </c>
      <c r="K45" s="20" t="n">
        <v>34</v>
      </c>
      <c r="L45" s="20" t="inlineStr">
        <is>
          <t>21–40</t>
        </is>
      </c>
      <c r="M45" s="20" t="inlineStr">
        <is>
          <t>US</t>
        </is>
      </c>
      <c r="N45" s="20" t="inlineStr">
        <is>
          <t>Troca/ajuste</t>
        </is>
      </c>
      <c r="O45" s="20" t="inlineStr">
        <is>
          <t>Troca/ajuste</t>
        </is>
      </c>
      <c r="P45" s="20" t="inlineStr">
        <is>
          <t>Troca/ajuste</t>
        </is>
      </c>
      <c r="Q45" s="20" t="n">
        <v>3</v>
      </c>
      <c r="R45" s="20" t="inlineStr">
        <is>
          <t>S-ab63e3, S-bc5908</t>
        </is>
      </c>
      <c r="S45" s="20" t="inlineStr">
        <is>
          <t>S-ab63e3</t>
        </is>
      </c>
      <c r="T45" s="20" t="inlineStr">
        <is>
          <t>Mesmo plano</t>
        </is>
      </c>
      <c r="U45" s="20" t="inlineStr">
        <is>
          <t>Mudou para anual</t>
        </is>
      </c>
      <c r="V45" s="20" t="inlineStr">
        <is>
          <t>Mesmos seats</t>
        </is>
      </c>
      <c r="W45" s="20" t="inlineStr">
        <is>
          <t>Sim</t>
        </is>
      </c>
    </row>
    <row r="46">
      <c r="A46" s="20" t="inlineStr">
        <is>
          <t>S-0f0d3a</t>
        </is>
      </c>
      <c r="B46" s="20" t="inlineStr">
        <is>
          <t>A-ad296b</t>
        </is>
      </c>
      <c r="C46" s="20" t="inlineStr">
        <is>
          <t>Rápida (&lt; 30 dias)</t>
        </is>
      </c>
      <c r="D46" s="20" t="inlineStr">
        <is>
          <t>Nov/24</t>
        </is>
      </c>
      <c r="E46" s="20" t="inlineStr">
        <is>
          <t>Não</t>
        </is>
      </c>
      <c r="F46" s="21" t="n">
        <v>45612</v>
      </c>
      <c r="G46" s="21" t="n">
        <v>45616</v>
      </c>
      <c r="H46" s="20" t="n">
        <v>4</v>
      </c>
      <c r="I46" s="20" t="inlineStr">
        <is>
          <t>Basic</t>
        </is>
      </c>
      <c r="J46" s="20" t="inlineStr">
        <is>
          <t>Anual</t>
        </is>
      </c>
      <c r="K46" s="20" t="n">
        <v>38</v>
      </c>
      <c r="L46" s="20" t="inlineStr">
        <is>
          <t>21–40</t>
        </is>
      </c>
      <c r="M46" s="20" t="inlineStr">
        <is>
          <t>AU</t>
        </is>
      </c>
      <c r="N46" s="20" t="inlineStr">
        <is>
          <t>Redução</t>
        </is>
      </c>
      <c r="O46" s="20" t="inlineStr">
        <is>
          <t>Redução</t>
        </is>
      </c>
      <c r="P46" s="20" t="inlineStr">
        <is>
          <t>Redução</t>
        </is>
      </c>
      <c r="Q46" s="20" t="n">
        <v>4</v>
      </c>
      <c r="R46" s="20" t="inlineStr"/>
      <c r="S46" s="20" t="inlineStr"/>
      <c r="T46" s="20" t="inlineStr"/>
      <c r="U46" s="20" t="inlineStr"/>
      <c r="V46" s="20" t="inlineStr"/>
      <c r="W46" s="20" t="inlineStr">
        <is>
          <t>Não</t>
        </is>
      </c>
    </row>
    <row r="47">
      <c r="A47" s="20" t="inlineStr">
        <is>
          <t>S-f2dd76</t>
        </is>
      </c>
      <c r="B47" s="20" t="inlineStr">
        <is>
          <t>A-443b7c</t>
        </is>
      </c>
      <c r="C47" s="20" t="inlineStr">
        <is>
          <t>Rápida (&lt; 30 dias)</t>
        </is>
      </c>
      <c r="D47" s="20" t="inlineStr">
        <is>
          <t>Nov/24</t>
        </is>
      </c>
      <c r="E47" s="20" t="inlineStr">
        <is>
          <t>Não</t>
        </is>
      </c>
      <c r="F47" s="21" t="n">
        <v>45609</v>
      </c>
      <c r="G47" s="21" t="n">
        <v>45617</v>
      </c>
      <c r="H47" s="20" t="n">
        <v>8</v>
      </c>
      <c r="I47" s="20" t="inlineStr">
        <is>
          <t>Pro</t>
        </is>
      </c>
      <c r="J47" s="20" t="inlineStr">
        <is>
          <t>Mensal</t>
        </is>
      </c>
      <c r="K47" s="20" t="n">
        <v>39</v>
      </c>
      <c r="L47" s="20" t="inlineStr">
        <is>
          <t>21–40</t>
        </is>
      </c>
      <c r="M47" s="20" t="inlineStr">
        <is>
          <t>US</t>
        </is>
      </c>
      <c r="N47" s="20" t="inlineStr">
        <is>
          <t>Troca/ajuste</t>
        </is>
      </c>
      <c r="O47" s="20" t="inlineStr">
        <is>
          <t>Troca/ajuste</t>
        </is>
      </c>
      <c r="P47" s="20" t="inlineStr">
        <is>
          <t>Troca/ajuste</t>
        </is>
      </c>
      <c r="Q47" s="20" t="n">
        <v>12</v>
      </c>
      <c r="R47" s="20" t="inlineStr">
        <is>
          <t>S-f7fccd</t>
        </is>
      </c>
      <c r="S47" s="20" t="inlineStr">
        <is>
          <t>S-f7fccd</t>
        </is>
      </c>
      <c r="T47" s="20" t="inlineStr">
        <is>
          <t>Plano abaixo</t>
        </is>
      </c>
      <c r="U47" s="20" t="inlineStr">
        <is>
          <t>Mudou para anual</t>
        </is>
      </c>
      <c r="V47" s="20" t="inlineStr">
        <is>
          <t>Menos seats</t>
        </is>
      </c>
      <c r="W47" s="20" t="inlineStr">
        <is>
          <t>Não</t>
        </is>
      </c>
    </row>
    <row r="48">
      <c r="A48" s="20" t="inlineStr">
        <is>
          <t>S-c4c9ce</t>
        </is>
      </c>
      <c r="B48" s="20" t="inlineStr">
        <is>
          <t>A-625d0b</t>
        </is>
      </c>
      <c r="C48" s="20" t="inlineStr">
        <is>
          <t>Rápida (&lt; 30 dias)</t>
        </is>
      </c>
      <c r="D48" s="20" t="inlineStr">
        <is>
          <t>Nov/24</t>
        </is>
      </c>
      <c r="E48" s="20" t="inlineStr">
        <is>
          <t>Não</t>
        </is>
      </c>
      <c r="F48" s="21" t="n">
        <v>45612</v>
      </c>
      <c r="G48" s="21" t="n">
        <v>45618</v>
      </c>
      <c r="H48" s="20" t="n">
        <v>6</v>
      </c>
      <c r="I48" s="20" t="inlineStr">
        <is>
          <t>Enterprise</t>
        </is>
      </c>
      <c r="J48" s="20" t="inlineStr">
        <is>
          <t>Mensal</t>
        </is>
      </c>
      <c r="K48" s="20" t="n">
        <v>10</v>
      </c>
      <c r="L48" s="20" t="inlineStr">
        <is>
          <t>06–10</t>
        </is>
      </c>
      <c r="M48" s="20" t="inlineStr">
        <is>
          <t>AU</t>
        </is>
      </c>
      <c r="N48" s="20" t="inlineStr">
        <is>
          <t>Troca/ajuste</t>
        </is>
      </c>
      <c r="O48" s="20" t="inlineStr">
        <is>
          <t>Troca/ajuste</t>
        </is>
      </c>
      <c r="P48" s="20" t="inlineStr">
        <is>
          <t>Troca/ajuste</t>
        </is>
      </c>
      <c r="Q48" s="20" t="n">
        <v>8</v>
      </c>
      <c r="R48" s="20" t="inlineStr">
        <is>
          <t>S-66ffe0, S-b156cf</t>
        </is>
      </c>
      <c r="S48" s="20" t="inlineStr">
        <is>
          <t>S-b156cf</t>
        </is>
      </c>
      <c r="T48" s="20" t="inlineStr">
        <is>
          <t>Plano abaixo</t>
        </is>
      </c>
      <c r="U48" s="20" t="inlineStr">
        <is>
          <t>Mudou para anual</t>
        </is>
      </c>
      <c r="V48" s="20" t="inlineStr">
        <is>
          <t>Menos seats</t>
        </is>
      </c>
      <c r="W48" s="20" t="inlineStr">
        <is>
          <t>Não</t>
        </is>
      </c>
    </row>
    <row r="49">
      <c r="A49" s="20" t="inlineStr">
        <is>
          <t>S-97efb2</t>
        </is>
      </c>
      <c r="B49" s="20" t="inlineStr">
        <is>
          <t>A-410e86</t>
        </is>
      </c>
      <c r="C49" s="20" t="inlineStr">
        <is>
          <t>Rápida (&lt; 30 dias)</t>
        </is>
      </c>
      <c r="D49" s="20" t="inlineStr">
        <is>
          <t>Nov/24</t>
        </is>
      </c>
      <c r="E49" s="20" t="inlineStr">
        <is>
          <t>Não</t>
        </is>
      </c>
      <c r="F49" s="21" t="n">
        <v>45612</v>
      </c>
      <c r="G49" s="21" t="n">
        <v>45618</v>
      </c>
      <c r="H49" s="20" t="n">
        <v>6</v>
      </c>
      <c r="I49" s="20" t="inlineStr">
        <is>
          <t>Enterprise</t>
        </is>
      </c>
      <c r="J49" s="20" t="inlineStr">
        <is>
          <t>Anual</t>
        </is>
      </c>
      <c r="K49" s="20" t="n">
        <v>24</v>
      </c>
      <c r="L49" s="20" t="inlineStr">
        <is>
          <t>21–40</t>
        </is>
      </c>
      <c r="M49" s="20" t="inlineStr">
        <is>
          <t>US</t>
        </is>
      </c>
      <c r="N49" s="20" t="inlineStr">
        <is>
          <t>Troca/ajuste</t>
        </is>
      </c>
      <c r="O49" s="20" t="inlineStr">
        <is>
          <t>Saída do cliente</t>
        </is>
      </c>
      <c r="P49" s="20" t="inlineStr">
        <is>
          <t>Troca/ajuste</t>
        </is>
      </c>
      <c r="Q49" s="20" t="n">
        <v>0</v>
      </c>
      <c r="R49" s="20" t="inlineStr">
        <is>
          <t>S-fe25ff</t>
        </is>
      </c>
      <c r="S49" s="20" t="inlineStr">
        <is>
          <t>S-fe25ff</t>
        </is>
      </c>
      <c r="T49" s="20" t="inlineStr">
        <is>
          <t>Mesmo plano</t>
        </is>
      </c>
      <c r="U49" s="20" t="inlineStr">
        <is>
          <t>Mesma cobrança</t>
        </is>
      </c>
      <c r="V49" s="20" t="inlineStr">
        <is>
          <t>Mesmos seats</t>
        </is>
      </c>
      <c r="W49" s="20" t="inlineStr">
        <is>
          <t>Não</t>
        </is>
      </c>
    </row>
    <row r="50">
      <c r="A50" s="20" t="inlineStr">
        <is>
          <t>S-71827b</t>
        </is>
      </c>
      <c r="B50" s="20" t="inlineStr">
        <is>
          <t>A-65c341</t>
        </is>
      </c>
      <c r="C50" s="20" t="inlineStr">
        <is>
          <t>Rápida (&lt; 30 dias)</t>
        </is>
      </c>
      <c r="D50" s="20" t="inlineStr">
        <is>
          <t>Nov/24</t>
        </is>
      </c>
      <c r="E50" s="20" t="inlineStr">
        <is>
          <t>Não</t>
        </is>
      </c>
      <c r="F50" s="21" t="n">
        <v>45611</v>
      </c>
      <c r="G50" s="21" t="n">
        <v>45619</v>
      </c>
      <c r="H50" s="20" t="n">
        <v>8</v>
      </c>
      <c r="I50" s="20" t="inlineStr">
        <is>
          <t>Pro</t>
        </is>
      </c>
      <c r="J50" s="20" t="inlineStr">
        <is>
          <t>Mensal</t>
        </is>
      </c>
      <c r="K50" s="20" t="n">
        <v>39</v>
      </c>
      <c r="L50" s="20" t="inlineStr">
        <is>
          <t>21–40</t>
        </is>
      </c>
      <c r="M50" s="20" t="inlineStr">
        <is>
          <t>US</t>
        </is>
      </c>
      <c r="N50" s="20" t="inlineStr">
        <is>
          <t>Redução</t>
        </is>
      </c>
      <c r="O50" s="20" t="inlineStr">
        <is>
          <t>Redução</t>
        </is>
      </c>
      <c r="P50" s="20" t="inlineStr">
        <is>
          <t>Redução</t>
        </is>
      </c>
      <c r="Q50" s="20" t="n">
        <v>6</v>
      </c>
      <c r="R50" s="20" t="inlineStr"/>
      <c r="S50" s="20" t="inlineStr"/>
      <c r="T50" s="20" t="inlineStr"/>
      <c r="U50" s="20" t="inlineStr"/>
      <c r="V50" s="20" t="inlineStr"/>
      <c r="W50" s="20" t="inlineStr">
        <is>
          <t>Sim</t>
        </is>
      </c>
    </row>
    <row r="51">
      <c r="A51" s="20" t="inlineStr">
        <is>
          <t>S-975ee4</t>
        </is>
      </c>
      <c r="B51" s="20" t="inlineStr">
        <is>
          <t>A-a09355</t>
        </is>
      </c>
      <c r="C51" s="20" t="inlineStr">
        <is>
          <t>Rápida (&lt; 30 dias)</t>
        </is>
      </c>
      <c r="D51" s="20" t="inlineStr">
        <is>
          <t>Nov/24</t>
        </is>
      </c>
      <c r="E51" s="20" t="inlineStr">
        <is>
          <t>Não</t>
        </is>
      </c>
      <c r="F51" s="21" t="n">
        <v>45614</v>
      </c>
      <c r="G51" s="21" t="n">
        <v>45620</v>
      </c>
      <c r="H51" s="20" t="n">
        <v>6</v>
      </c>
      <c r="I51" s="20" t="inlineStr">
        <is>
          <t>Pro</t>
        </is>
      </c>
      <c r="J51" s="20" t="inlineStr">
        <is>
          <t>Anual</t>
        </is>
      </c>
      <c r="K51" s="20" t="n">
        <v>14</v>
      </c>
      <c r="L51" s="20" t="inlineStr">
        <is>
          <t>11–20</t>
        </is>
      </c>
      <c r="M51" s="20" t="inlineStr">
        <is>
          <t>US</t>
        </is>
      </c>
      <c r="N51" s="20" t="inlineStr">
        <is>
          <t>Troca/ajuste</t>
        </is>
      </c>
      <c r="O51" s="20" t="inlineStr">
        <is>
          <t>Redução</t>
        </is>
      </c>
      <c r="P51" s="20" t="inlineStr">
        <is>
          <t>Troca/ajuste</t>
        </is>
      </c>
      <c r="Q51" s="20" t="n">
        <v>11</v>
      </c>
      <c r="R51" s="20" t="inlineStr">
        <is>
          <t>S-dccf50</t>
        </is>
      </c>
      <c r="S51" s="20" t="inlineStr">
        <is>
          <t>S-dccf50</t>
        </is>
      </c>
      <c r="T51" s="20" t="inlineStr">
        <is>
          <t>Plano acima</t>
        </is>
      </c>
      <c r="U51" s="20" t="inlineStr">
        <is>
          <t>Mesma cobrança</t>
        </is>
      </c>
      <c r="V51" s="20" t="inlineStr">
        <is>
          <t>Mais seats</t>
        </is>
      </c>
      <c r="W51" s="20" t="inlineStr">
        <is>
          <t>Não</t>
        </is>
      </c>
    </row>
    <row r="52">
      <c r="A52" s="20" t="inlineStr">
        <is>
          <t>S-4e63e7</t>
        </is>
      </c>
      <c r="B52" s="20" t="inlineStr">
        <is>
          <t>A-a33200</t>
        </is>
      </c>
      <c r="C52" s="20" t="inlineStr">
        <is>
          <t>Lenta (30+ dias)</t>
        </is>
      </c>
      <c r="D52" s="20" t="inlineStr">
        <is>
          <t>Nov/24</t>
        </is>
      </c>
      <c r="E52" s="20" t="inlineStr">
        <is>
          <t>Não</t>
        </is>
      </c>
      <c r="F52" s="21" t="n">
        <v>45590</v>
      </c>
      <c r="G52" s="21" t="n">
        <v>45620</v>
      </c>
      <c r="H52" s="20" t="n">
        <v>30</v>
      </c>
      <c r="I52" s="20" t="inlineStr">
        <is>
          <t>Enterprise</t>
        </is>
      </c>
      <c r="J52" s="20" t="inlineStr">
        <is>
          <t>Anual</t>
        </is>
      </c>
      <c r="K52" s="20" t="n">
        <v>29</v>
      </c>
      <c r="L52" s="20" t="inlineStr">
        <is>
          <t>21–40</t>
        </is>
      </c>
      <c r="M52" s="20" t="inlineStr">
        <is>
          <t>US</t>
        </is>
      </c>
      <c r="N52" s="20" t="inlineStr">
        <is>
          <t>Troca/ajuste</t>
        </is>
      </c>
      <c r="O52" s="20" t="inlineStr">
        <is>
          <t>Troca/ajuste</t>
        </is>
      </c>
      <c r="P52" s="20" t="inlineStr">
        <is>
          <t>Troca/ajuste</t>
        </is>
      </c>
      <c r="Q52" s="20" t="n">
        <v>7</v>
      </c>
      <c r="R52" s="20" t="inlineStr">
        <is>
          <t>S-a88726, S-decbf7</t>
        </is>
      </c>
      <c r="S52" s="20" t="inlineStr">
        <is>
          <t>S-decbf7</t>
        </is>
      </c>
      <c r="T52" s="20" t="inlineStr">
        <is>
          <t>Mesmo plano</t>
        </is>
      </c>
      <c r="U52" s="20" t="inlineStr">
        <is>
          <t>Mesma cobrança</t>
        </is>
      </c>
      <c r="V52" s="20" t="inlineStr">
        <is>
          <t>Mesmos seats</t>
        </is>
      </c>
      <c r="W52" s="20" t="inlineStr">
        <is>
          <t>Não</t>
        </is>
      </c>
    </row>
    <row r="53">
      <c r="A53" s="20" t="inlineStr">
        <is>
          <t>S-84e146</t>
        </is>
      </c>
      <c r="B53" s="20" t="inlineStr">
        <is>
          <t>A-d82ef9</t>
        </is>
      </c>
      <c r="C53" s="20" t="inlineStr">
        <is>
          <t>Lenta (30+ dias)</t>
        </is>
      </c>
      <c r="D53" s="20" t="inlineStr">
        <is>
          <t>Nov/24</t>
        </is>
      </c>
      <c r="E53" s="20" t="inlineStr">
        <is>
          <t>Não</t>
        </is>
      </c>
      <c r="F53" s="21" t="n">
        <v>45494</v>
      </c>
      <c r="G53" s="21" t="n">
        <v>45620</v>
      </c>
      <c r="H53" s="20" t="n">
        <v>126</v>
      </c>
      <c r="I53" s="20" t="inlineStr">
        <is>
          <t>Basic</t>
        </is>
      </c>
      <c r="J53" s="20" t="inlineStr">
        <is>
          <t>Mensal</t>
        </is>
      </c>
      <c r="K53" s="20" t="n">
        <v>53</v>
      </c>
      <c r="L53" s="20" t="inlineStr">
        <is>
          <t>41–80</t>
        </is>
      </c>
      <c r="M53" s="20" t="inlineStr">
        <is>
          <t>UK</t>
        </is>
      </c>
      <c r="N53" s="20" t="inlineStr">
        <is>
          <t>Troca/ajuste</t>
        </is>
      </c>
      <c r="O53" s="20" t="inlineStr">
        <is>
          <t>Redução</t>
        </is>
      </c>
      <c r="P53" s="20" t="inlineStr">
        <is>
          <t>Troca/ajuste</t>
        </is>
      </c>
      <c r="Q53" s="20" t="n">
        <v>11</v>
      </c>
      <c r="R53" s="20" t="inlineStr">
        <is>
          <t>S-631547, S-5aff5f</t>
        </is>
      </c>
      <c r="S53" s="20" t="inlineStr">
        <is>
          <t>S-631547</t>
        </is>
      </c>
      <c r="T53" s="20" t="inlineStr">
        <is>
          <t>Mesmo plano</t>
        </is>
      </c>
      <c r="U53" s="20" t="inlineStr">
        <is>
          <t>Mudou para anual</t>
        </is>
      </c>
      <c r="V53" s="20" t="inlineStr">
        <is>
          <t>Menos seats</t>
        </is>
      </c>
      <c r="W53" s="20" t="inlineStr">
        <is>
          <t>Não</t>
        </is>
      </c>
    </row>
    <row r="54">
      <c r="A54" s="20" t="inlineStr">
        <is>
          <t>S-b51d34</t>
        </is>
      </c>
      <c r="B54" s="20" t="inlineStr">
        <is>
          <t>A-2d1036</t>
        </is>
      </c>
      <c r="C54" s="20" t="inlineStr">
        <is>
          <t>Lenta (30+ dias)</t>
        </is>
      </c>
      <c r="D54" s="20" t="inlineStr">
        <is>
          <t>Nov/24</t>
        </is>
      </c>
      <c r="E54" s="20" t="inlineStr">
        <is>
          <t>Não</t>
        </is>
      </c>
      <c r="F54" s="21" t="n">
        <v>45578</v>
      </c>
      <c r="G54" s="21" t="n">
        <v>45620</v>
      </c>
      <c r="H54" s="20" t="n">
        <v>42</v>
      </c>
      <c r="I54" s="20" t="inlineStr">
        <is>
          <t>Enterprise</t>
        </is>
      </c>
      <c r="J54" s="20" t="inlineStr">
        <is>
          <t>Anual</t>
        </is>
      </c>
      <c r="K54" s="20" t="n">
        <v>69</v>
      </c>
      <c r="L54" s="20" t="inlineStr">
        <is>
          <t>41–80</t>
        </is>
      </c>
      <c r="M54" s="20" t="inlineStr">
        <is>
          <t>US</t>
        </is>
      </c>
      <c r="N54" s="20" t="inlineStr">
        <is>
          <t>Troca/ajuste</t>
        </is>
      </c>
      <c r="O54" s="20" t="inlineStr">
        <is>
          <t>Troca/ajuste</t>
        </is>
      </c>
      <c r="P54" s="20" t="inlineStr">
        <is>
          <t>Troca/ajuste</t>
        </is>
      </c>
      <c r="Q54" s="20" t="n">
        <v>10</v>
      </c>
      <c r="R54" s="20" t="inlineStr">
        <is>
          <t>S-b23d8d</t>
        </is>
      </c>
      <c r="S54" s="20" t="inlineStr">
        <is>
          <t>S-b23d8d</t>
        </is>
      </c>
      <c r="T54" s="20" t="inlineStr">
        <is>
          <t>Plano abaixo</t>
        </is>
      </c>
      <c r="U54" s="20" t="inlineStr">
        <is>
          <t>Mesma cobrança</t>
        </is>
      </c>
      <c r="V54" s="20" t="inlineStr">
        <is>
          <t>Mesmos seats</t>
        </is>
      </c>
      <c r="W54" s="20" t="inlineStr">
        <is>
          <t>Não</t>
        </is>
      </c>
    </row>
    <row r="55">
      <c r="A55" s="20" t="inlineStr">
        <is>
          <t>S-dfbd79</t>
        </is>
      </c>
      <c r="B55" s="20" t="inlineStr">
        <is>
          <t>A-977ca0</t>
        </is>
      </c>
      <c r="C55" s="20" t="inlineStr">
        <is>
          <t>Rápida (&lt; 30 dias)</t>
        </is>
      </c>
      <c r="D55" s="20" t="inlineStr">
        <is>
          <t>Nov/24</t>
        </is>
      </c>
      <c r="E55" s="20" t="inlineStr">
        <is>
          <t>Não</t>
        </is>
      </c>
      <c r="F55" s="21" t="n">
        <v>45620</v>
      </c>
      <c r="G55" s="21" t="n">
        <v>45620</v>
      </c>
      <c r="H55" s="20" t="n">
        <v>0</v>
      </c>
      <c r="I55" s="20" t="inlineStr">
        <is>
          <t>Pro</t>
        </is>
      </c>
      <c r="J55" s="20" t="inlineStr">
        <is>
          <t>Anual</t>
        </is>
      </c>
      <c r="K55" s="20" t="n">
        <v>14</v>
      </c>
      <c r="L55" s="20" t="inlineStr">
        <is>
          <t>11–20</t>
        </is>
      </c>
      <c r="M55" s="20" t="inlineStr">
        <is>
          <t>IN</t>
        </is>
      </c>
      <c r="N55" s="20" t="inlineStr">
        <is>
          <t>Redução</t>
        </is>
      </c>
      <c r="O55" s="20" t="inlineStr">
        <is>
          <t>Redução</t>
        </is>
      </c>
      <c r="P55" s="20" t="inlineStr">
        <is>
          <t>Redução</t>
        </is>
      </c>
      <c r="Q55" s="20" t="n">
        <v>14</v>
      </c>
      <c r="R55" s="20" t="inlineStr"/>
      <c r="S55" s="20" t="inlineStr"/>
      <c r="T55" s="20" t="inlineStr"/>
      <c r="U55" s="20" t="inlineStr"/>
      <c r="V55" s="20" t="inlineStr"/>
      <c r="W55" s="20" t="inlineStr">
        <is>
          <t>Não</t>
        </is>
      </c>
    </row>
    <row r="56">
      <c r="A56" s="20" t="inlineStr">
        <is>
          <t>S-d32441</t>
        </is>
      </c>
      <c r="B56" s="20" t="inlineStr">
        <is>
          <t>A-781cc0</t>
        </is>
      </c>
      <c r="C56" s="20" t="inlineStr">
        <is>
          <t>Lenta (30+ dias)</t>
        </is>
      </c>
      <c r="D56" s="20" t="inlineStr">
        <is>
          <t>Nov/24</t>
        </is>
      </c>
      <c r="E56" s="20" t="inlineStr">
        <is>
          <t>Não</t>
        </is>
      </c>
      <c r="F56" s="21" t="n">
        <v>45554</v>
      </c>
      <c r="G56" s="21" t="n">
        <v>45620</v>
      </c>
      <c r="H56" s="20" t="n">
        <v>66</v>
      </c>
      <c r="I56" s="20" t="inlineStr">
        <is>
          <t>Enterprise</t>
        </is>
      </c>
      <c r="J56" s="20" t="inlineStr">
        <is>
          <t>Anual</t>
        </is>
      </c>
      <c r="K56" s="20" t="n">
        <v>12</v>
      </c>
      <c r="L56" s="20" t="inlineStr">
        <is>
          <t>11–20</t>
        </is>
      </c>
      <c r="M56" s="20" t="inlineStr">
        <is>
          <t>US</t>
        </is>
      </c>
      <c r="N56" s="20" t="inlineStr">
        <is>
          <t>Troca/ajuste</t>
        </is>
      </c>
      <c r="O56" s="20" t="inlineStr">
        <is>
          <t>Redução</t>
        </is>
      </c>
      <c r="P56" s="20" t="inlineStr">
        <is>
          <t>Troca/ajuste</t>
        </is>
      </c>
      <c r="Q56" s="20" t="n">
        <v>12</v>
      </c>
      <c r="R56" s="20" t="inlineStr">
        <is>
          <t>S-d11408</t>
        </is>
      </c>
      <c r="S56" s="20" t="inlineStr">
        <is>
          <t>S-d11408</t>
        </is>
      </c>
      <c r="T56" s="20" t="inlineStr">
        <is>
          <t>Mesmo plano</t>
        </is>
      </c>
      <c r="U56" s="20" t="inlineStr">
        <is>
          <t>Mudou para mensal</t>
        </is>
      </c>
      <c r="V56" s="20" t="inlineStr">
        <is>
          <t>Mesmos seats</t>
        </is>
      </c>
      <c r="W56" s="20" t="inlineStr">
        <is>
          <t>Sim</t>
        </is>
      </c>
    </row>
    <row r="57">
      <c r="A57" s="20" t="inlineStr">
        <is>
          <t>S-5856ab</t>
        </is>
      </c>
      <c r="B57" s="20" t="inlineStr">
        <is>
          <t>A-3c1a3f</t>
        </is>
      </c>
      <c r="C57" s="20" t="inlineStr">
        <is>
          <t>Lenta (30+ dias)</t>
        </is>
      </c>
      <c r="D57" s="20" t="inlineStr">
        <is>
          <t>Nov/24</t>
        </is>
      </c>
      <c r="E57" s="20" t="inlineStr">
        <is>
          <t>Não</t>
        </is>
      </c>
      <c r="F57" s="21" t="n">
        <v>45418</v>
      </c>
      <c r="G57" s="21" t="n">
        <v>45621</v>
      </c>
      <c r="H57" s="20" t="n">
        <v>203</v>
      </c>
      <c r="I57" s="20" t="inlineStr">
        <is>
          <t>Pro</t>
        </is>
      </c>
      <c r="J57" s="20" t="inlineStr">
        <is>
          <t>Anual</t>
        </is>
      </c>
      <c r="K57" s="20" t="n">
        <v>19</v>
      </c>
      <c r="L57" s="20" t="inlineStr">
        <is>
          <t>11–20</t>
        </is>
      </c>
      <c r="M57" s="20" t="inlineStr">
        <is>
          <t>UK</t>
        </is>
      </c>
      <c r="N57" s="20" t="inlineStr">
        <is>
          <t>Redução</t>
        </is>
      </c>
      <c r="O57" s="20" t="inlineStr">
        <is>
          <t>Redução</t>
        </is>
      </c>
      <c r="P57" s="20" t="inlineStr">
        <is>
          <t>Redução</t>
        </is>
      </c>
      <c r="Q57" s="20" t="n">
        <v>10</v>
      </c>
      <c r="R57" s="20" t="inlineStr"/>
      <c r="S57" s="20" t="inlineStr"/>
      <c r="T57" s="20" t="inlineStr"/>
      <c r="U57" s="20" t="inlineStr"/>
      <c r="V57" s="20" t="inlineStr"/>
      <c r="W57" s="20" t="inlineStr">
        <is>
          <t>Não</t>
        </is>
      </c>
    </row>
    <row r="58">
      <c r="A58" s="20" t="inlineStr">
        <is>
          <t>S-017e33</t>
        </is>
      </c>
      <c r="B58" s="20" t="inlineStr">
        <is>
          <t>A-f9cc74</t>
        </is>
      </c>
      <c r="C58" s="20" t="inlineStr">
        <is>
          <t>Rápida (&lt; 30 dias)</t>
        </is>
      </c>
      <c r="D58" s="20" t="inlineStr">
        <is>
          <t>Nov/24</t>
        </is>
      </c>
      <c r="E58" s="20" t="inlineStr">
        <is>
          <t>Não</t>
        </is>
      </c>
      <c r="F58" s="21" t="n">
        <v>45604</v>
      </c>
      <c r="G58" s="21" t="n">
        <v>45621</v>
      </c>
      <c r="H58" s="20" t="n">
        <v>17</v>
      </c>
      <c r="I58" s="20" t="inlineStr">
        <is>
          <t>Basic</t>
        </is>
      </c>
      <c r="J58" s="20" t="inlineStr">
        <is>
          <t>Mensal</t>
        </is>
      </c>
      <c r="K58" s="20" t="n">
        <v>53</v>
      </c>
      <c r="L58" s="20" t="inlineStr">
        <is>
          <t>41–80</t>
        </is>
      </c>
      <c r="M58" s="20" t="inlineStr">
        <is>
          <t>FR</t>
        </is>
      </c>
      <c r="N58" s="20" t="inlineStr">
        <is>
          <t>Troca/ajuste</t>
        </is>
      </c>
      <c r="O58" s="20" t="inlineStr">
        <is>
          <t>Troca/ajuste</t>
        </is>
      </c>
      <c r="P58" s="20" t="inlineStr">
        <is>
          <t>Troca/ajuste</t>
        </is>
      </c>
      <c r="Q58" s="20" t="n">
        <v>4</v>
      </c>
      <c r="R58" s="20" t="inlineStr">
        <is>
          <t>S-6c9763, S-c76699</t>
        </is>
      </c>
      <c r="S58" s="20" t="inlineStr">
        <is>
          <t>S-c76699</t>
        </is>
      </c>
      <c r="T58" s="20" t="inlineStr">
        <is>
          <t>Mesmo plano</t>
        </is>
      </c>
      <c r="U58" s="20" t="inlineStr">
        <is>
          <t>Mesma cobrança</t>
        </is>
      </c>
      <c r="V58" s="20" t="inlineStr">
        <is>
          <t>Menos seats</t>
        </is>
      </c>
      <c r="W58" s="20" t="inlineStr">
        <is>
          <t>Não</t>
        </is>
      </c>
    </row>
    <row r="59">
      <c r="A59" s="20" t="inlineStr">
        <is>
          <t>S-381420</t>
        </is>
      </c>
      <c r="B59" s="20" t="inlineStr">
        <is>
          <t>A-42b791</t>
        </is>
      </c>
      <c r="C59" s="20" t="inlineStr">
        <is>
          <t>Lenta (30+ dias)</t>
        </is>
      </c>
      <c r="D59" s="20" t="inlineStr">
        <is>
          <t>Nov/24</t>
        </is>
      </c>
      <c r="E59" s="20" t="inlineStr">
        <is>
          <t>Não</t>
        </is>
      </c>
      <c r="F59" s="21" t="n">
        <v>45590</v>
      </c>
      <c r="G59" s="21" t="n">
        <v>45621</v>
      </c>
      <c r="H59" s="20" t="n">
        <v>31</v>
      </c>
      <c r="I59" s="20" t="inlineStr">
        <is>
          <t>Basic</t>
        </is>
      </c>
      <c r="J59" s="20" t="inlineStr">
        <is>
          <t>Mensal</t>
        </is>
      </c>
      <c r="K59" s="20" t="n">
        <v>27</v>
      </c>
      <c r="L59" s="20" t="inlineStr">
        <is>
          <t>21–40</t>
        </is>
      </c>
      <c r="M59" s="20" t="inlineStr">
        <is>
          <t>AU</t>
        </is>
      </c>
      <c r="N59" s="20" t="inlineStr">
        <is>
          <t>Redução</t>
        </is>
      </c>
      <c r="O59" s="20" t="inlineStr">
        <is>
          <t>Redução</t>
        </is>
      </c>
      <c r="P59" s="20" t="inlineStr">
        <is>
          <t>Redução</t>
        </is>
      </c>
      <c r="Q59" s="20" t="n">
        <v>4</v>
      </c>
      <c r="R59" s="20" t="inlineStr"/>
      <c r="S59" s="20" t="inlineStr"/>
      <c r="T59" s="20" t="inlineStr"/>
      <c r="U59" s="20" t="inlineStr"/>
      <c r="V59" s="20" t="inlineStr"/>
      <c r="W59" s="20" t="inlineStr">
        <is>
          <t>Não</t>
        </is>
      </c>
    </row>
    <row r="60">
      <c r="A60" s="20" t="inlineStr">
        <is>
          <t>S-c7621b</t>
        </is>
      </c>
      <c r="B60" s="20" t="inlineStr">
        <is>
          <t>A-ced9aa</t>
        </is>
      </c>
      <c r="C60" s="20" t="inlineStr">
        <is>
          <t>Rápida (&lt; 30 dias)</t>
        </is>
      </c>
      <c r="D60" s="20" t="inlineStr">
        <is>
          <t>Nov/24</t>
        </is>
      </c>
      <c r="E60" s="20" t="inlineStr">
        <is>
          <t>Não</t>
        </is>
      </c>
      <c r="F60" s="21" t="n">
        <v>45619</v>
      </c>
      <c r="G60" s="21" t="n">
        <v>45621</v>
      </c>
      <c r="H60" s="20" t="n">
        <v>2</v>
      </c>
      <c r="I60" s="20" t="inlineStr">
        <is>
          <t>Basic</t>
        </is>
      </c>
      <c r="J60" s="20" t="inlineStr">
        <is>
          <t>Anual</t>
        </is>
      </c>
      <c r="K60" s="20" t="n">
        <v>19</v>
      </c>
      <c r="L60" s="20" t="inlineStr">
        <is>
          <t>11–20</t>
        </is>
      </c>
      <c r="M60" s="20" t="inlineStr">
        <is>
          <t>US</t>
        </is>
      </c>
      <c r="N60" s="20" t="inlineStr">
        <is>
          <t>Troca/ajuste</t>
        </is>
      </c>
      <c r="O60" s="20" t="inlineStr">
        <is>
          <t>Troca/ajuste</t>
        </is>
      </c>
      <c r="P60" s="20" t="inlineStr">
        <is>
          <t>Troca/ajuste</t>
        </is>
      </c>
      <c r="Q60" s="20" t="n">
        <v>4</v>
      </c>
      <c r="R60" s="20" t="inlineStr">
        <is>
          <t>S-3c072b, S-b0e621</t>
        </is>
      </c>
      <c r="S60" s="20" t="inlineStr">
        <is>
          <t>S-b0e621</t>
        </is>
      </c>
      <c r="T60" s="20" t="inlineStr">
        <is>
          <t>Plano acima</t>
        </is>
      </c>
      <c r="U60" s="20" t="inlineStr">
        <is>
          <t>Mudou para mensal</t>
        </is>
      </c>
      <c r="V60" s="20" t="inlineStr">
        <is>
          <t>Menos seats</t>
        </is>
      </c>
      <c r="W60" s="20" t="inlineStr">
        <is>
          <t>Não</t>
        </is>
      </c>
    </row>
    <row r="61">
      <c r="A61" s="20" t="inlineStr">
        <is>
          <t>S-2223bf</t>
        </is>
      </c>
      <c r="B61" s="20" t="inlineStr">
        <is>
          <t>A-5a215a</t>
        </is>
      </c>
      <c r="C61" s="20" t="inlineStr">
        <is>
          <t>Lenta (30+ dias)</t>
        </is>
      </c>
      <c r="D61" s="20" t="inlineStr">
        <is>
          <t>Nov/24</t>
        </is>
      </c>
      <c r="E61" s="20" t="inlineStr">
        <is>
          <t>Não</t>
        </is>
      </c>
      <c r="F61" s="21" t="n">
        <v>45588</v>
      </c>
      <c r="G61" s="21" t="n">
        <v>45622</v>
      </c>
      <c r="H61" s="20" t="n">
        <v>34</v>
      </c>
      <c r="I61" s="20" t="inlineStr">
        <is>
          <t>Pro</t>
        </is>
      </c>
      <c r="J61" s="20" t="inlineStr">
        <is>
          <t>Mensal</t>
        </is>
      </c>
      <c r="K61" s="20" t="n">
        <v>87</v>
      </c>
      <c r="L61" s="20" t="inlineStr">
        <is>
          <t>81 ou mais</t>
        </is>
      </c>
      <c r="M61" s="20" t="inlineStr">
        <is>
          <t>FR</t>
        </is>
      </c>
      <c r="N61" s="20" t="inlineStr">
        <is>
          <t>Troca/ajuste</t>
        </is>
      </c>
      <c r="O61" s="20" t="inlineStr">
        <is>
          <t>Troca/ajuste</t>
        </is>
      </c>
      <c r="P61" s="20" t="inlineStr">
        <is>
          <t>Troca/ajuste</t>
        </is>
      </c>
      <c r="Q61" s="20" t="n">
        <v>13</v>
      </c>
      <c r="R61" s="20" t="inlineStr">
        <is>
          <t>S-704cf3</t>
        </is>
      </c>
      <c r="S61" s="20" t="inlineStr">
        <is>
          <t>S-704cf3</t>
        </is>
      </c>
      <c r="T61" s="20" t="inlineStr">
        <is>
          <t>Plano abaixo</t>
        </is>
      </c>
      <c r="U61" s="20" t="inlineStr">
        <is>
          <t>Mesma cobrança</t>
        </is>
      </c>
      <c r="V61" s="20" t="inlineStr">
        <is>
          <t>Mesmos seats</t>
        </is>
      </c>
      <c r="W61" s="20" t="inlineStr">
        <is>
          <t>Não</t>
        </is>
      </c>
    </row>
    <row r="62">
      <c r="A62" s="20" t="inlineStr">
        <is>
          <t>S-50c6f5</t>
        </is>
      </c>
      <c r="B62" s="20" t="inlineStr">
        <is>
          <t>A-a6d261</t>
        </is>
      </c>
      <c r="C62" s="20" t="inlineStr">
        <is>
          <t>Lenta (30+ dias)</t>
        </is>
      </c>
      <c r="D62" s="20" t="inlineStr">
        <is>
          <t>Nov/24</t>
        </is>
      </c>
      <c r="E62" s="20" t="inlineStr">
        <is>
          <t>Não</t>
        </is>
      </c>
      <c r="F62" s="21" t="n">
        <v>45408</v>
      </c>
      <c r="G62" s="21" t="n">
        <v>45622</v>
      </c>
      <c r="H62" s="20" t="n">
        <v>214</v>
      </c>
      <c r="I62" s="20" t="inlineStr">
        <is>
          <t>Enterprise</t>
        </is>
      </c>
      <c r="J62" s="20" t="inlineStr">
        <is>
          <t>Mensal</t>
        </is>
      </c>
      <c r="K62" s="20" t="n">
        <v>103</v>
      </c>
      <c r="L62" s="20" t="inlineStr">
        <is>
          <t>81 ou mais</t>
        </is>
      </c>
      <c r="M62" s="20" t="inlineStr">
        <is>
          <t>CA</t>
        </is>
      </c>
      <c r="N62" s="20" t="inlineStr">
        <is>
          <t>Troca/ajuste</t>
        </is>
      </c>
      <c r="O62" s="20" t="inlineStr">
        <is>
          <t>Redução</t>
        </is>
      </c>
      <c r="P62" s="20" t="inlineStr">
        <is>
          <t>Troca/ajuste</t>
        </is>
      </c>
      <c r="Q62" s="20" t="n">
        <v>13</v>
      </c>
      <c r="R62" s="20" t="inlineStr">
        <is>
          <t>S-58d2c8</t>
        </is>
      </c>
      <c r="S62" s="20" t="inlineStr">
        <is>
          <t>S-58d2c8</t>
        </is>
      </c>
      <c r="T62" s="20" t="inlineStr">
        <is>
          <t>Plano abaixo</t>
        </is>
      </c>
      <c r="U62" s="20" t="inlineStr">
        <is>
          <t>Mudou para anual</t>
        </is>
      </c>
      <c r="V62" s="20" t="inlineStr">
        <is>
          <t>Menos seats</t>
        </is>
      </c>
      <c r="W62" s="20" t="inlineStr">
        <is>
          <t>Não</t>
        </is>
      </c>
    </row>
    <row r="63">
      <c r="A63" s="20" t="inlineStr">
        <is>
          <t>S-cd2085</t>
        </is>
      </c>
      <c r="B63" s="20" t="inlineStr">
        <is>
          <t>A-7c83a1</t>
        </is>
      </c>
      <c r="C63" s="20" t="inlineStr">
        <is>
          <t>Rápida (&lt; 30 dias)</t>
        </is>
      </c>
      <c r="D63" s="20" t="inlineStr">
        <is>
          <t>Nov/24</t>
        </is>
      </c>
      <c r="E63" s="20" t="inlineStr">
        <is>
          <t>Não</t>
        </is>
      </c>
      <c r="F63" s="21" t="n">
        <v>45606</v>
      </c>
      <c r="G63" s="21" t="n">
        <v>45622</v>
      </c>
      <c r="H63" s="20" t="n">
        <v>16</v>
      </c>
      <c r="I63" s="20" t="inlineStr">
        <is>
          <t>Basic</t>
        </is>
      </c>
      <c r="J63" s="20" t="inlineStr">
        <is>
          <t>Mensal</t>
        </is>
      </c>
      <c r="K63" s="20" t="n">
        <v>12</v>
      </c>
      <c r="L63" s="20" t="inlineStr">
        <is>
          <t>11–20</t>
        </is>
      </c>
      <c r="M63" s="20" t="inlineStr">
        <is>
          <t>US</t>
        </is>
      </c>
      <c r="N63" s="20" t="inlineStr">
        <is>
          <t>Troca/ajuste</t>
        </is>
      </c>
      <c r="O63" s="20" t="inlineStr">
        <is>
          <t>Troca/ajuste</t>
        </is>
      </c>
      <c r="P63" s="20" t="inlineStr">
        <is>
          <t>Troca/ajuste</t>
        </is>
      </c>
      <c r="Q63" s="20" t="n">
        <v>9</v>
      </c>
      <c r="R63" s="20" t="inlineStr">
        <is>
          <t>S-0e9f1e</t>
        </is>
      </c>
      <c r="S63" s="20" t="inlineStr">
        <is>
          <t>S-0e9f1e</t>
        </is>
      </c>
      <c r="T63" s="20" t="inlineStr">
        <is>
          <t>Mesmo plano</t>
        </is>
      </c>
      <c r="U63" s="20" t="inlineStr">
        <is>
          <t>Mesma cobrança</t>
        </is>
      </c>
      <c r="V63" s="20" t="inlineStr">
        <is>
          <t>Mesmos seats</t>
        </is>
      </c>
      <c r="W63" s="20" t="inlineStr">
        <is>
          <t>Não</t>
        </is>
      </c>
    </row>
    <row r="64">
      <c r="A64" s="20" t="inlineStr">
        <is>
          <t>S-2fc028</t>
        </is>
      </c>
      <c r="B64" s="20" t="inlineStr">
        <is>
          <t>A-3b37d9</t>
        </is>
      </c>
      <c r="C64" s="20" t="inlineStr">
        <is>
          <t>Lenta (30+ dias)</t>
        </is>
      </c>
      <c r="D64" s="20" t="inlineStr">
        <is>
          <t>Nov/24</t>
        </is>
      </c>
      <c r="E64" s="20" t="inlineStr">
        <is>
          <t>Não</t>
        </is>
      </c>
      <c r="F64" s="21" t="n">
        <v>45243</v>
      </c>
      <c r="G64" s="21" t="n">
        <v>45623</v>
      </c>
      <c r="H64" s="20" t="n">
        <v>380</v>
      </c>
      <c r="I64" s="20" t="inlineStr">
        <is>
          <t>Enterprise</t>
        </is>
      </c>
      <c r="J64" s="20" t="inlineStr">
        <is>
          <t>Anual</t>
        </is>
      </c>
      <c r="K64" s="20" t="n">
        <v>23</v>
      </c>
      <c r="L64" s="20" t="inlineStr">
        <is>
          <t>21–40</t>
        </is>
      </c>
      <c r="M64" s="20" t="inlineStr">
        <is>
          <t>US</t>
        </is>
      </c>
      <c r="N64" s="20" t="inlineStr">
        <is>
          <t>Redução</t>
        </is>
      </c>
      <c r="O64" s="20" t="inlineStr">
        <is>
          <t>Redução</t>
        </is>
      </c>
      <c r="P64" s="20" t="inlineStr">
        <is>
          <t>Troca/ajuste</t>
        </is>
      </c>
      <c r="Q64" s="20" t="n">
        <v>6</v>
      </c>
      <c r="R64" s="20" t="inlineStr"/>
      <c r="S64" s="20" t="inlineStr"/>
      <c r="T64" s="20" t="inlineStr"/>
      <c r="U64" s="20" t="inlineStr"/>
      <c r="V64" s="20" t="inlineStr"/>
      <c r="W64" s="20" t="inlineStr">
        <is>
          <t>Não</t>
        </is>
      </c>
    </row>
    <row r="65">
      <c r="A65" s="20" t="inlineStr">
        <is>
          <t>S-3d8c2f</t>
        </is>
      </c>
      <c r="B65" s="20" t="inlineStr">
        <is>
          <t>A-51ec1b</t>
        </is>
      </c>
      <c r="C65" s="20" t="inlineStr">
        <is>
          <t>Lenta (30+ dias)</t>
        </is>
      </c>
      <c r="D65" s="20" t="inlineStr">
        <is>
          <t>Nov/24</t>
        </is>
      </c>
      <c r="E65" s="20" t="inlineStr">
        <is>
          <t>Não</t>
        </is>
      </c>
      <c r="F65" s="21" t="n">
        <v>45585</v>
      </c>
      <c r="G65" s="21" t="n">
        <v>45623</v>
      </c>
      <c r="H65" s="20" t="n">
        <v>38</v>
      </c>
      <c r="I65" s="20" t="inlineStr">
        <is>
          <t>Pro</t>
        </is>
      </c>
      <c r="J65" s="20" t="inlineStr">
        <is>
          <t>Mensal</t>
        </is>
      </c>
      <c r="K65" s="20" t="n">
        <v>23</v>
      </c>
      <c r="L65" s="20" t="inlineStr">
        <is>
          <t>21–40</t>
        </is>
      </c>
      <c r="M65" s="20" t="inlineStr">
        <is>
          <t>US</t>
        </is>
      </c>
      <c r="N65" s="20" t="inlineStr">
        <is>
          <t>Redução</t>
        </is>
      </c>
      <c r="O65" s="20" t="inlineStr">
        <is>
          <t>Redução</t>
        </is>
      </c>
      <c r="P65" s="20" t="inlineStr">
        <is>
          <t>Redução</t>
        </is>
      </c>
      <c r="Q65" s="20" t="n">
        <v>4</v>
      </c>
      <c r="R65" s="20" t="inlineStr"/>
      <c r="S65" s="20" t="inlineStr"/>
      <c r="T65" s="20" t="inlineStr"/>
      <c r="U65" s="20" t="inlineStr"/>
      <c r="V65" s="20" t="inlineStr"/>
      <c r="W65" s="20" t="inlineStr">
        <is>
          <t>Não</t>
        </is>
      </c>
    </row>
    <row r="66">
      <c r="A66" s="20" t="inlineStr">
        <is>
          <t>S-783131</t>
        </is>
      </c>
      <c r="B66" s="20" t="inlineStr">
        <is>
          <t>A-51ec1b</t>
        </is>
      </c>
      <c r="C66" s="20" t="inlineStr">
        <is>
          <t>Lenta (30+ dias)</t>
        </is>
      </c>
      <c r="D66" s="20" t="inlineStr">
        <is>
          <t>Nov/24</t>
        </is>
      </c>
      <c r="E66" s="20" t="inlineStr">
        <is>
          <t>Não</t>
        </is>
      </c>
      <c r="F66" s="21" t="n">
        <v>45568</v>
      </c>
      <c r="G66" s="21" t="n">
        <v>45623</v>
      </c>
      <c r="H66" s="20" t="n">
        <v>55</v>
      </c>
      <c r="I66" s="20" t="inlineStr">
        <is>
          <t>Enterprise</t>
        </is>
      </c>
      <c r="J66" s="20" t="inlineStr">
        <is>
          <t>Anual</t>
        </is>
      </c>
      <c r="K66" s="20" t="n">
        <v>7</v>
      </c>
      <c r="L66" s="20" t="inlineStr">
        <is>
          <t>06–10</t>
        </is>
      </c>
      <c r="M66" s="20" t="inlineStr">
        <is>
          <t>US</t>
        </is>
      </c>
      <c r="N66" s="20" t="inlineStr">
        <is>
          <t>Redução</t>
        </is>
      </c>
      <c r="O66" s="20" t="inlineStr">
        <is>
          <t>Redução</t>
        </is>
      </c>
      <c r="P66" s="20" t="inlineStr">
        <is>
          <t>Redução</t>
        </is>
      </c>
      <c r="Q66" s="20" t="n">
        <v>4</v>
      </c>
      <c r="R66" s="20" t="inlineStr"/>
      <c r="S66" s="20" t="inlineStr"/>
      <c r="T66" s="20" t="inlineStr"/>
      <c r="U66" s="20" t="inlineStr"/>
      <c r="V66" s="20" t="inlineStr"/>
      <c r="W66" s="20" t="inlineStr">
        <is>
          <t>Não</t>
        </is>
      </c>
    </row>
    <row r="67">
      <c r="A67" s="20" t="inlineStr">
        <is>
          <t>S-00837c</t>
        </is>
      </c>
      <c r="B67" s="20" t="inlineStr">
        <is>
          <t>A-089363</t>
        </is>
      </c>
      <c r="C67" s="20" t="inlineStr">
        <is>
          <t>Rápida (&lt; 30 dias)</t>
        </is>
      </c>
      <c r="D67" s="20" t="inlineStr">
        <is>
          <t>Nov/24</t>
        </is>
      </c>
      <c r="E67" s="20" t="inlineStr">
        <is>
          <t>Não</t>
        </is>
      </c>
      <c r="F67" s="21" t="n">
        <v>45611</v>
      </c>
      <c r="G67" s="21" t="n">
        <v>45623</v>
      </c>
      <c r="H67" s="20" t="n">
        <v>12</v>
      </c>
      <c r="I67" s="20" t="inlineStr">
        <is>
          <t>Enterprise</t>
        </is>
      </c>
      <c r="J67" s="20" t="inlineStr">
        <is>
          <t>Anual</t>
        </is>
      </c>
      <c r="K67" s="20" t="n">
        <v>43</v>
      </c>
      <c r="L67" s="20" t="inlineStr">
        <is>
          <t>41–80</t>
        </is>
      </c>
      <c r="M67" s="20" t="inlineStr">
        <is>
          <t>AU</t>
        </is>
      </c>
      <c r="N67" s="20" t="inlineStr">
        <is>
          <t>Troca/ajuste</t>
        </is>
      </c>
      <c r="O67" s="20" t="inlineStr">
        <is>
          <t>Troca/ajuste</t>
        </is>
      </c>
      <c r="P67" s="20" t="inlineStr">
        <is>
          <t>Troca/ajuste</t>
        </is>
      </c>
      <c r="Q67" s="20" t="n">
        <v>12</v>
      </c>
      <c r="R67" s="20" t="inlineStr">
        <is>
          <t>S-1e1853</t>
        </is>
      </c>
      <c r="S67" s="20" t="inlineStr">
        <is>
          <t>S-1e1853</t>
        </is>
      </c>
      <c r="T67" s="20" t="inlineStr">
        <is>
          <t>Mesmo plano</t>
        </is>
      </c>
      <c r="U67" s="20" t="inlineStr">
        <is>
          <t>Mudou para mensal</t>
        </is>
      </c>
      <c r="V67" s="20" t="inlineStr">
        <is>
          <t>Menos seats</t>
        </is>
      </c>
      <c r="W67" s="20" t="inlineStr">
        <is>
          <t>Não</t>
        </is>
      </c>
    </row>
    <row r="68">
      <c r="A68" s="20" t="inlineStr">
        <is>
          <t>S-396a84</t>
        </is>
      </c>
      <c r="B68" s="20" t="inlineStr">
        <is>
          <t>A-5b4ebb</t>
        </is>
      </c>
      <c r="C68" s="20" t="inlineStr">
        <is>
          <t>Lenta (30+ dias)</t>
        </is>
      </c>
      <c r="D68" s="20" t="inlineStr">
        <is>
          <t>Nov/24</t>
        </is>
      </c>
      <c r="E68" s="20" t="inlineStr">
        <is>
          <t>Não</t>
        </is>
      </c>
      <c r="F68" s="21" t="n">
        <v>45588</v>
      </c>
      <c r="G68" s="21" t="n">
        <v>45623</v>
      </c>
      <c r="H68" s="20" t="n">
        <v>35</v>
      </c>
      <c r="I68" s="20" t="inlineStr">
        <is>
          <t>Basic</t>
        </is>
      </c>
      <c r="J68" s="20" t="inlineStr">
        <is>
          <t>Mensal</t>
        </is>
      </c>
      <c r="K68" s="20" t="n">
        <v>21</v>
      </c>
      <c r="L68" s="20" t="inlineStr">
        <is>
          <t>21–40</t>
        </is>
      </c>
      <c r="M68" s="20" t="inlineStr">
        <is>
          <t>UK</t>
        </is>
      </c>
      <c r="N68" s="20" t="inlineStr">
        <is>
          <t>Troca/ajuste</t>
        </is>
      </c>
      <c r="O68" s="20" t="inlineStr">
        <is>
          <t>Redução</t>
        </is>
      </c>
      <c r="P68" s="20" t="inlineStr">
        <is>
          <t>Troca/ajuste</t>
        </is>
      </c>
      <c r="Q68" s="20" t="n">
        <v>10</v>
      </c>
      <c r="R68" s="20" t="inlineStr">
        <is>
          <t>S-02cde8</t>
        </is>
      </c>
      <c r="S68" s="20" t="inlineStr">
        <is>
          <t>S-02cde8</t>
        </is>
      </c>
      <c r="T68" s="20" t="inlineStr">
        <is>
          <t>Plano acima</t>
        </is>
      </c>
      <c r="U68" s="20" t="inlineStr">
        <is>
          <t>Mesma cobrança</t>
        </is>
      </c>
      <c r="V68" s="20" t="inlineStr">
        <is>
          <t>Mais seats</t>
        </is>
      </c>
      <c r="W68" s="20" t="inlineStr">
        <is>
          <t>Não</t>
        </is>
      </c>
    </row>
    <row r="69">
      <c r="A69" s="20" t="inlineStr">
        <is>
          <t>S-59f0a6</t>
        </is>
      </c>
      <c r="B69" s="20" t="inlineStr">
        <is>
          <t>A-104f1a</t>
        </is>
      </c>
      <c r="C69" s="20" t="inlineStr">
        <is>
          <t>Lenta (30+ dias)</t>
        </is>
      </c>
      <c r="D69" s="20" t="inlineStr">
        <is>
          <t>Nov/24</t>
        </is>
      </c>
      <c r="E69" s="20" t="inlineStr">
        <is>
          <t>Não</t>
        </is>
      </c>
      <c r="F69" s="21" t="n">
        <v>45537</v>
      </c>
      <c r="G69" s="21" t="n">
        <v>45624</v>
      </c>
      <c r="H69" s="20" t="n">
        <v>87</v>
      </c>
      <c r="I69" s="20" t="inlineStr">
        <is>
          <t>Pro</t>
        </is>
      </c>
      <c r="J69" s="20" t="inlineStr">
        <is>
          <t>Mensal</t>
        </is>
      </c>
      <c r="K69" s="20" t="n">
        <v>123</v>
      </c>
      <c r="L69" s="20" t="inlineStr">
        <is>
          <t>81 ou mais</t>
        </is>
      </c>
      <c r="M69" s="20" t="inlineStr">
        <is>
          <t>US</t>
        </is>
      </c>
      <c r="N69" s="20" t="inlineStr">
        <is>
          <t>Redução</t>
        </is>
      </c>
      <c r="O69" s="20" t="inlineStr">
        <is>
          <t>Redução</t>
        </is>
      </c>
      <c r="P69" s="20" t="inlineStr">
        <is>
          <t>Troca/ajuste</t>
        </is>
      </c>
      <c r="Q69" s="20" t="n">
        <v>4</v>
      </c>
      <c r="R69" s="20" t="inlineStr"/>
      <c r="S69" s="20" t="inlineStr"/>
      <c r="T69" s="20" t="inlineStr"/>
      <c r="U69" s="20" t="inlineStr"/>
      <c r="V69" s="20" t="inlineStr"/>
      <c r="W69" s="20" t="inlineStr">
        <is>
          <t>Sim</t>
        </is>
      </c>
    </row>
    <row r="70">
      <c r="A70" s="20" t="inlineStr">
        <is>
          <t>S-18e3a5</t>
        </is>
      </c>
      <c r="B70" s="20" t="inlineStr">
        <is>
          <t>A-c43359</t>
        </is>
      </c>
      <c r="C70" s="20" t="inlineStr">
        <is>
          <t>Rápida (&lt; 30 dias)</t>
        </is>
      </c>
      <c r="D70" s="20" t="inlineStr">
        <is>
          <t>Nov/24</t>
        </is>
      </c>
      <c r="E70" s="20" t="inlineStr">
        <is>
          <t>Não</t>
        </is>
      </c>
      <c r="F70" s="21" t="n">
        <v>45621</v>
      </c>
      <c r="G70" s="21" t="n">
        <v>45624</v>
      </c>
      <c r="H70" s="20" t="n">
        <v>3</v>
      </c>
      <c r="I70" s="20" t="inlineStr">
        <is>
          <t>Basic</t>
        </is>
      </c>
      <c r="J70" s="20" t="inlineStr">
        <is>
          <t>Anual</t>
        </is>
      </c>
      <c r="K70" s="20" t="n">
        <v>38</v>
      </c>
      <c r="L70" s="20" t="inlineStr">
        <is>
          <t>21–40</t>
        </is>
      </c>
      <c r="M70" s="20" t="inlineStr">
        <is>
          <t>US</t>
        </is>
      </c>
      <c r="N70" s="20" t="inlineStr">
        <is>
          <t>Troca/ajuste</t>
        </is>
      </c>
      <c r="O70" s="20" t="inlineStr">
        <is>
          <t>Troca/ajuste</t>
        </is>
      </c>
      <c r="P70" s="20" t="inlineStr">
        <is>
          <t>Troca/ajuste</t>
        </is>
      </c>
      <c r="Q70" s="20" t="n">
        <v>1</v>
      </c>
      <c r="R70" s="20" t="inlineStr">
        <is>
          <t>S-09cb75</t>
        </is>
      </c>
      <c r="S70" s="20" t="inlineStr">
        <is>
          <t>S-09cb75</t>
        </is>
      </c>
      <c r="T70" s="20" t="inlineStr">
        <is>
          <t>Mesmo plano</t>
        </is>
      </c>
      <c r="U70" s="20" t="inlineStr">
        <is>
          <t>Mesma cobrança</t>
        </is>
      </c>
      <c r="V70" s="20" t="inlineStr">
        <is>
          <t>Mesmos seats</t>
        </is>
      </c>
      <c r="W70" s="20" t="inlineStr">
        <is>
          <t>Sim</t>
        </is>
      </c>
    </row>
    <row r="71">
      <c r="A71" s="20" t="inlineStr">
        <is>
          <t>S-d1f7ad</t>
        </is>
      </c>
      <c r="B71" s="20" t="inlineStr">
        <is>
          <t>A-c222ab</t>
        </is>
      </c>
      <c r="C71" s="20" t="inlineStr">
        <is>
          <t>Rápida (&lt; 30 dias)</t>
        </is>
      </c>
      <c r="D71" s="20" t="inlineStr">
        <is>
          <t>Nov/24</t>
        </is>
      </c>
      <c r="E71" s="20" t="inlineStr">
        <is>
          <t>Não</t>
        </is>
      </c>
      <c r="F71" s="21" t="n">
        <v>45596</v>
      </c>
      <c r="G71" s="21" t="n">
        <v>45625</v>
      </c>
      <c r="H71" s="20" t="n">
        <v>29</v>
      </c>
      <c r="I71" s="20" t="inlineStr">
        <is>
          <t>Basic</t>
        </is>
      </c>
      <c r="J71" s="20" t="inlineStr">
        <is>
          <t>Anual</t>
        </is>
      </c>
      <c r="K71" s="20" t="n">
        <v>32</v>
      </c>
      <c r="L71" s="20" t="inlineStr">
        <is>
          <t>21–40</t>
        </is>
      </c>
      <c r="M71" s="20" t="inlineStr">
        <is>
          <t>US</t>
        </is>
      </c>
      <c r="N71" s="20" t="inlineStr">
        <is>
          <t>Redução</t>
        </is>
      </c>
      <c r="O71" s="20" t="inlineStr">
        <is>
          <t>Redução</t>
        </is>
      </c>
      <c r="P71" s="20" t="inlineStr">
        <is>
          <t>Troca/ajuste</t>
        </is>
      </c>
      <c r="Q71" s="20" t="n">
        <v>4</v>
      </c>
      <c r="R71" s="20" t="inlineStr"/>
      <c r="S71" s="20" t="inlineStr"/>
      <c r="T71" s="20" t="inlineStr"/>
      <c r="U71" s="20" t="inlineStr"/>
      <c r="V71" s="20" t="inlineStr"/>
      <c r="W71" s="20" t="inlineStr">
        <is>
          <t>Não</t>
        </is>
      </c>
    </row>
    <row r="72">
      <c r="A72" s="20" t="inlineStr">
        <is>
          <t>S-8055fa</t>
        </is>
      </c>
      <c r="B72" s="20" t="inlineStr">
        <is>
          <t>A-09540c</t>
        </is>
      </c>
      <c r="C72" s="20" t="inlineStr">
        <is>
          <t>Lenta (30+ dias)</t>
        </is>
      </c>
      <c r="D72" s="20" t="inlineStr">
        <is>
          <t>Nov/24</t>
        </is>
      </c>
      <c r="E72" s="20" t="inlineStr">
        <is>
          <t>Não</t>
        </is>
      </c>
      <c r="F72" s="21" t="n">
        <v>45507</v>
      </c>
      <c r="G72" s="21" t="n">
        <v>45625</v>
      </c>
      <c r="H72" s="20" t="n">
        <v>118</v>
      </c>
      <c r="I72" s="20" t="inlineStr">
        <is>
          <t>Basic</t>
        </is>
      </c>
      <c r="J72" s="20" t="inlineStr">
        <is>
          <t>Mensal</t>
        </is>
      </c>
      <c r="K72" s="20" t="n">
        <v>67</v>
      </c>
      <c r="L72" s="20" t="inlineStr">
        <is>
          <t>41–80</t>
        </is>
      </c>
      <c r="M72" s="20" t="inlineStr">
        <is>
          <t>CA</t>
        </is>
      </c>
      <c r="N72" s="20" t="inlineStr">
        <is>
          <t>Redução</t>
        </is>
      </c>
      <c r="O72" s="20" t="inlineStr">
        <is>
          <t>Redução</t>
        </is>
      </c>
      <c r="P72" s="20" t="inlineStr">
        <is>
          <t>Redução</t>
        </is>
      </c>
      <c r="Q72" s="20" t="n">
        <v>4</v>
      </c>
      <c r="R72" s="20" t="inlineStr"/>
      <c r="S72" s="20" t="inlineStr"/>
      <c r="T72" s="20" t="inlineStr"/>
      <c r="U72" s="20" t="inlineStr"/>
      <c r="V72" s="20" t="inlineStr"/>
      <c r="W72" s="20" t="inlineStr">
        <is>
          <t>Não</t>
        </is>
      </c>
    </row>
    <row r="73">
      <c r="A73" s="20" t="inlineStr">
        <is>
          <t>S-62c824</t>
        </is>
      </c>
      <c r="B73" s="20" t="inlineStr">
        <is>
          <t>A-0e966d</t>
        </is>
      </c>
      <c r="C73" s="20" t="inlineStr">
        <is>
          <t>Rápida (&lt; 30 dias)</t>
        </is>
      </c>
      <c r="D73" s="20" t="inlineStr">
        <is>
          <t>Nov/24</t>
        </is>
      </c>
      <c r="E73" s="20" t="inlineStr">
        <is>
          <t>Não</t>
        </is>
      </c>
      <c r="F73" s="21" t="n">
        <v>45622</v>
      </c>
      <c r="G73" s="21" t="n">
        <v>45626</v>
      </c>
      <c r="H73" s="20" t="n">
        <v>4</v>
      </c>
      <c r="I73" s="20" t="inlineStr">
        <is>
          <t>Basic</t>
        </is>
      </c>
      <c r="J73" s="20" t="inlineStr">
        <is>
          <t>Anual</t>
        </is>
      </c>
      <c r="K73" s="20" t="n">
        <v>11</v>
      </c>
      <c r="L73" s="20" t="inlineStr">
        <is>
          <t>11–20</t>
        </is>
      </c>
      <c r="M73" s="20" t="inlineStr">
        <is>
          <t>IN</t>
        </is>
      </c>
      <c r="N73" s="20" t="inlineStr">
        <is>
          <t>Redução</t>
        </is>
      </c>
      <c r="O73" s="20" t="inlineStr">
        <is>
          <t>Redução</t>
        </is>
      </c>
      <c r="P73" s="20" t="inlineStr">
        <is>
          <t>Redução</t>
        </is>
      </c>
      <c r="Q73" s="20" t="n">
        <v>10</v>
      </c>
      <c r="R73" s="20" t="inlineStr"/>
      <c r="S73" s="20" t="inlineStr"/>
      <c r="T73" s="20" t="inlineStr"/>
      <c r="U73" s="20" t="inlineStr"/>
      <c r="V73" s="20" t="inlineStr"/>
      <c r="W73" s="20" t="inlineStr">
        <is>
          <t>Não</t>
        </is>
      </c>
    </row>
    <row r="74">
      <c r="A74" s="20" t="inlineStr">
        <is>
          <t>S-e561b9</t>
        </is>
      </c>
      <c r="B74" s="20" t="inlineStr">
        <is>
          <t>A-d26ab4</t>
        </is>
      </c>
      <c r="C74" s="20" t="inlineStr">
        <is>
          <t>Rápida (&lt; 30 dias)</t>
        </is>
      </c>
      <c r="D74" s="20" t="inlineStr">
        <is>
          <t>Nov/24</t>
        </is>
      </c>
      <c r="E74" s="20" t="inlineStr">
        <is>
          <t>Não</t>
        </is>
      </c>
      <c r="F74" s="21" t="n">
        <v>45609</v>
      </c>
      <c r="G74" s="21" t="n">
        <v>45626</v>
      </c>
      <c r="H74" s="20" t="n">
        <v>17</v>
      </c>
      <c r="I74" s="20" t="inlineStr">
        <is>
          <t>Pro</t>
        </is>
      </c>
      <c r="J74" s="20" t="inlineStr">
        <is>
          <t>Mensal</t>
        </is>
      </c>
      <c r="K74" s="20" t="n">
        <v>18</v>
      </c>
      <c r="L74" s="20" t="inlineStr">
        <is>
          <t>11–20</t>
        </is>
      </c>
      <c r="M74" s="20" t="inlineStr">
        <is>
          <t>UK</t>
        </is>
      </c>
      <c r="N74" s="20" t="inlineStr">
        <is>
          <t>Redução</t>
        </is>
      </c>
      <c r="O74" s="20" t="inlineStr">
        <is>
          <t>Redução</t>
        </is>
      </c>
      <c r="P74" s="20" t="inlineStr">
        <is>
          <t>Troca/ajuste</t>
        </is>
      </c>
      <c r="Q74" s="20" t="n">
        <v>5</v>
      </c>
      <c r="R74" s="20" t="inlineStr"/>
      <c r="S74" s="20" t="inlineStr"/>
      <c r="T74" s="20" t="inlineStr"/>
      <c r="U74" s="20" t="inlineStr"/>
      <c r="V74" s="20" t="inlineStr"/>
      <c r="W74" s="20" t="inlineStr">
        <is>
          <t>Sim</t>
        </is>
      </c>
    </row>
    <row r="75">
      <c r="A75" s="20" t="inlineStr">
        <is>
          <t>S-7b65f4</t>
        </is>
      </c>
      <c r="B75" s="20" t="inlineStr">
        <is>
          <t>A-7f29a7</t>
        </is>
      </c>
      <c r="C75" s="20" t="inlineStr">
        <is>
          <t>Rápida (&lt; 30 dias)</t>
        </is>
      </c>
      <c r="D75" s="20" t="inlineStr">
        <is>
          <t>Dez/24</t>
        </is>
      </c>
      <c r="E75" s="20" t="inlineStr">
        <is>
          <t>Não</t>
        </is>
      </c>
      <c r="F75" s="21" t="n">
        <v>45603</v>
      </c>
      <c r="G75" s="21" t="n">
        <v>45628</v>
      </c>
      <c r="H75" s="20" t="n">
        <v>25</v>
      </c>
      <c r="I75" s="20" t="inlineStr">
        <is>
          <t>Basic</t>
        </is>
      </c>
      <c r="J75" s="20" t="inlineStr">
        <is>
          <t>Mensal</t>
        </is>
      </c>
      <c r="K75" s="20" t="n">
        <v>41</v>
      </c>
      <c r="L75" s="20" t="inlineStr">
        <is>
          <t>41–80</t>
        </is>
      </c>
      <c r="M75" s="20" t="inlineStr">
        <is>
          <t>UK</t>
        </is>
      </c>
      <c r="N75" s="20" t="inlineStr">
        <is>
          <t>Troca/ajuste</t>
        </is>
      </c>
      <c r="O75" s="20" t="inlineStr">
        <is>
          <t>Troca/ajuste</t>
        </is>
      </c>
      <c r="P75" s="20" t="inlineStr">
        <is>
          <t>Troca/ajuste</t>
        </is>
      </c>
      <c r="Q75" s="20" t="n">
        <v>6</v>
      </c>
      <c r="R75" s="20" t="inlineStr">
        <is>
          <t>S-bdc6b7, S-9e8ce0, S-c3d6a2</t>
        </is>
      </c>
      <c r="S75" s="20" t="inlineStr">
        <is>
          <t>S-bdc6b7</t>
        </is>
      </c>
      <c r="T75" s="20" t="inlineStr">
        <is>
          <t>Plano acima</t>
        </is>
      </c>
      <c r="U75" s="20" t="inlineStr">
        <is>
          <t>Mesma cobrança</t>
        </is>
      </c>
      <c r="V75" s="20" t="inlineStr">
        <is>
          <t>Mesmos seats</t>
        </is>
      </c>
      <c r="W75" s="20" t="inlineStr">
        <is>
          <t>Não</t>
        </is>
      </c>
    </row>
    <row r="76">
      <c r="A76" s="20" t="inlineStr">
        <is>
          <t>S-f86bcf</t>
        </is>
      </c>
      <c r="B76" s="20" t="inlineStr">
        <is>
          <t>A-592832</t>
        </is>
      </c>
      <c r="C76" s="20" t="inlineStr">
        <is>
          <t>Rápida (&lt; 30 dias)</t>
        </is>
      </c>
      <c r="D76" s="20" t="inlineStr">
        <is>
          <t>Dez/24</t>
        </is>
      </c>
      <c r="E76" s="20" t="inlineStr">
        <is>
          <t>Não</t>
        </is>
      </c>
      <c r="F76" s="21" t="n">
        <v>45628</v>
      </c>
      <c r="G76" s="21" t="n">
        <v>45629</v>
      </c>
      <c r="H76" s="20" t="n">
        <v>1</v>
      </c>
      <c r="I76" s="20" t="inlineStr">
        <is>
          <t>Pro</t>
        </is>
      </c>
      <c r="J76" s="20" t="inlineStr">
        <is>
          <t>Anual</t>
        </is>
      </c>
      <c r="K76" s="20" t="n">
        <v>44</v>
      </c>
      <c r="L76" s="20" t="inlineStr">
        <is>
          <t>41–80</t>
        </is>
      </c>
      <c r="M76" s="20" t="inlineStr">
        <is>
          <t>US</t>
        </is>
      </c>
      <c r="N76" s="20" t="inlineStr">
        <is>
          <t>Troca/ajuste</t>
        </is>
      </c>
      <c r="O76" s="20" t="inlineStr">
        <is>
          <t>Troca/ajuste</t>
        </is>
      </c>
      <c r="P76" s="20" t="inlineStr">
        <is>
          <t>Troca/ajuste</t>
        </is>
      </c>
      <c r="Q76" s="20" t="n">
        <v>12</v>
      </c>
      <c r="R76" s="20" t="inlineStr">
        <is>
          <t>S-17cfc4, S-529f0c</t>
        </is>
      </c>
      <c r="S76" s="20" t="inlineStr">
        <is>
          <t>S-17cfc4</t>
        </is>
      </c>
      <c r="T76" s="20" t="inlineStr">
        <is>
          <t>Mesmo plano</t>
        </is>
      </c>
      <c r="U76" s="20" t="inlineStr">
        <is>
          <t>Mudou para mensal</t>
        </is>
      </c>
      <c r="V76" s="20" t="inlineStr">
        <is>
          <t>Menos seats</t>
        </is>
      </c>
      <c r="W76" s="20" t="inlineStr">
        <is>
          <t>Não</t>
        </is>
      </c>
    </row>
    <row r="77">
      <c r="A77" s="20" t="inlineStr">
        <is>
          <t>S-6ce221</t>
        </is>
      </c>
      <c r="B77" s="20" t="inlineStr">
        <is>
          <t>A-65aeb5</t>
        </is>
      </c>
      <c r="C77" s="20" t="inlineStr">
        <is>
          <t>Lenta (30+ dias)</t>
        </is>
      </c>
      <c r="D77" s="20" t="inlineStr">
        <is>
          <t>Dez/24</t>
        </is>
      </c>
      <c r="E77" s="20" t="inlineStr">
        <is>
          <t>Não</t>
        </is>
      </c>
      <c r="F77" s="21" t="n">
        <v>45575</v>
      </c>
      <c r="G77" s="21" t="n">
        <v>45629</v>
      </c>
      <c r="H77" s="20" t="n">
        <v>54</v>
      </c>
      <c r="I77" s="20" t="inlineStr">
        <is>
          <t>Basic</t>
        </is>
      </c>
      <c r="J77" s="20" t="inlineStr">
        <is>
          <t>Anual</t>
        </is>
      </c>
      <c r="K77" s="20" t="n">
        <v>9</v>
      </c>
      <c r="L77" s="20" t="inlineStr">
        <is>
          <t>06–10</t>
        </is>
      </c>
      <c r="M77" s="20" t="inlineStr">
        <is>
          <t>US</t>
        </is>
      </c>
      <c r="N77" s="20" t="inlineStr">
        <is>
          <t>Redução</t>
        </is>
      </c>
      <c r="O77" s="20" t="inlineStr">
        <is>
          <t>Redução</t>
        </is>
      </c>
      <c r="P77" s="20" t="inlineStr">
        <is>
          <t>Redução</t>
        </is>
      </c>
      <c r="Q77" s="20" t="n">
        <v>9</v>
      </c>
      <c r="R77" s="20" t="inlineStr"/>
      <c r="S77" s="20" t="inlineStr"/>
      <c r="T77" s="20" t="inlineStr"/>
      <c r="U77" s="20" t="inlineStr"/>
      <c r="V77" s="20" t="inlineStr"/>
      <c r="W77" s="20" t="inlineStr">
        <is>
          <t>Sim</t>
        </is>
      </c>
    </row>
    <row r="78">
      <c r="A78" s="20" t="inlineStr">
        <is>
          <t>S-62641a</t>
        </is>
      </c>
      <c r="B78" s="20" t="inlineStr">
        <is>
          <t>A-4c56c9</t>
        </is>
      </c>
      <c r="C78" s="20" t="inlineStr">
        <is>
          <t>Rápida (&lt; 30 dias)</t>
        </is>
      </c>
      <c r="D78" s="20" t="inlineStr">
        <is>
          <t>Dez/24</t>
        </is>
      </c>
      <c r="E78" s="20" t="inlineStr">
        <is>
          <t>Não</t>
        </is>
      </c>
      <c r="F78" s="21" t="n">
        <v>45625</v>
      </c>
      <c r="G78" s="21" t="n">
        <v>45629</v>
      </c>
      <c r="H78" s="20" t="n">
        <v>4</v>
      </c>
      <c r="I78" s="20" t="inlineStr">
        <is>
          <t>Enterprise</t>
        </is>
      </c>
      <c r="J78" s="20" t="inlineStr">
        <is>
          <t>Mensal</t>
        </is>
      </c>
      <c r="K78" s="20" t="n">
        <v>18</v>
      </c>
      <c r="L78" s="20" t="inlineStr">
        <is>
          <t>11–20</t>
        </is>
      </c>
      <c r="M78" s="20" t="inlineStr">
        <is>
          <t>US</t>
        </is>
      </c>
      <c r="N78" s="20" t="inlineStr">
        <is>
          <t>Redução</t>
        </is>
      </c>
      <c r="O78" s="20" t="inlineStr">
        <is>
          <t>Redução</t>
        </is>
      </c>
      <c r="P78" s="20" t="inlineStr">
        <is>
          <t>Redução</t>
        </is>
      </c>
      <c r="Q78" s="20" t="n">
        <v>7</v>
      </c>
      <c r="R78" s="20" t="inlineStr"/>
      <c r="S78" s="20" t="inlineStr"/>
      <c r="T78" s="20" t="inlineStr"/>
      <c r="U78" s="20" t="inlineStr"/>
      <c r="V78" s="20" t="inlineStr"/>
      <c r="W78" s="20" t="inlineStr">
        <is>
          <t>Não</t>
        </is>
      </c>
    </row>
    <row r="79">
      <c r="A79" s="20" t="inlineStr">
        <is>
          <t>S-7904d3</t>
        </is>
      </c>
      <c r="B79" s="20" t="inlineStr">
        <is>
          <t>A-d4e0d4</t>
        </is>
      </c>
      <c r="C79" s="20" t="inlineStr">
        <is>
          <t>Rápida (&lt; 30 dias)</t>
        </is>
      </c>
      <c r="D79" s="20" t="inlineStr">
        <is>
          <t>Dez/24</t>
        </is>
      </c>
      <c r="E79" s="20" t="inlineStr">
        <is>
          <t>Não</t>
        </is>
      </c>
      <c r="F79" s="21" t="n">
        <v>45626</v>
      </c>
      <c r="G79" s="21" t="n">
        <v>45629</v>
      </c>
      <c r="H79" s="20" t="n">
        <v>3</v>
      </c>
      <c r="I79" s="20" t="inlineStr">
        <is>
          <t>Enterprise</t>
        </is>
      </c>
      <c r="J79" s="20" t="inlineStr">
        <is>
          <t>Mensal</t>
        </is>
      </c>
      <c r="K79" s="20" t="n">
        <v>117</v>
      </c>
      <c r="L79" s="20" t="inlineStr">
        <is>
          <t>81 ou mais</t>
        </is>
      </c>
      <c r="M79" s="20" t="inlineStr">
        <is>
          <t>US</t>
        </is>
      </c>
      <c r="N79" s="20" t="inlineStr">
        <is>
          <t>Redução</t>
        </is>
      </c>
      <c r="O79" s="20" t="inlineStr">
        <is>
          <t>Redução</t>
        </is>
      </c>
      <c r="P79" s="20" t="inlineStr">
        <is>
          <t>Troca/ajuste</t>
        </is>
      </c>
      <c r="Q79" s="20" t="n">
        <v>7</v>
      </c>
      <c r="R79" s="20" t="inlineStr"/>
      <c r="S79" s="20" t="inlineStr"/>
      <c r="T79" s="20" t="inlineStr"/>
      <c r="U79" s="20" t="inlineStr"/>
      <c r="V79" s="20" t="inlineStr"/>
      <c r="W79" s="20" t="inlineStr">
        <is>
          <t>Não</t>
        </is>
      </c>
    </row>
    <row r="80">
      <c r="A80" s="20" t="inlineStr">
        <is>
          <t>S-52699f</t>
        </is>
      </c>
      <c r="B80" s="20" t="inlineStr">
        <is>
          <t>A-df10db</t>
        </is>
      </c>
      <c r="C80" s="20" t="inlineStr">
        <is>
          <t>Lenta (30+ dias)</t>
        </is>
      </c>
      <c r="D80" s="20" t="inlineStr">
        <is>
          <t>Dez/24</t>
        </is>
      </c>
      <c r="E80" s="20" t="inlineStr">
        <is>
          <t>Não</t>
        </is>
      </c>
      <c r="F80" s="21" t="n">
        <v>45163</v>
      </c>
      <c r="G80" s="21" t="n">
        <v>45629</v>
      </c>
      <c r="H80" s="20" t="n">
        <v>466</v>
      </c>
      <c r="I80" s="20" t="inlineStr">
        <is>
          <t>Basic</t>
        </is>
      </c>
      <c r="J80" s="20" t="inlineStr">
        <is>
          <t>Mensal</t>
        </is>
      </c>
      <c r="K80" s="20" t="n">
        <v>14</v>
      </c>
      <c r="L80" s="20" t="inlineStr">
        <is>
          <t>11–20</t>
        </is>
      </c>
      <c r="M80" s="20" t="inlineStr">
        <is>
          <t>US</t>
        </is>
      </c>
      <c r="N80" s="20" t="inlineStr">
        <is>
          <t>Redução</t>
        </is>
      </c>
      <c r="O80" s="20" t="inlineStr">
        <is>
          <t>Redução</t>
        </is>
      </c>
      <c r="P80" s="20" t="inlineStr">
        <is>
          <t>Redução</t>
        </is>
      </c>
      <c r="Q80" s="20" t="n">
        <v>10</v>
      </c>
      <c r="R80" s="20" t="inlineStr"/>
      <c r="S80" s="20" t="inlineStr"/>
      <c r="T80" s="20" t="inlineStr"/>
      <c r="U80" s="20" t="inlineStr"/>
      <c r="V80" s="20" t="inlineStr"/>
      <c r="W80" s="20" t="inlineStr">
        <is>
          <t>Não</t>
        </is>
      </c>
    </row>
    <row r="81">
      <c r="A81" s="20" t="inlineStr">
        <is>
          <t>S-b7deea</t>
        </is>
      </c>
      <c r="B81" s="20" t="inlineStr">
        <is>
          <t>A-65aeb5</t>
        </is>
      </c>
      <c r="C81" s="20" t="inlineStr">
        <is>
          <t>Lenta (30+ dias)</t>
        </is>
      </c>
      <c r="D81" s="20" t="inlineStr">
        <is>
          <t>Dez/24</t>
        </is>
      </c>
      <c r="E81" s="20" t="inlineStr">
        <is>
          <t>Não</t>
        </is>
      </c>
      <c r="F81" s="21" t="n">
        <v>45373</v>
      </c>
      <c r="G81" s="21" t="n">
        <v>45629</v>
      </c>
      <c r="H81" s="20" t="n">
        <v>256</v>
      </c>
      <c r="I81" s="20" t="inlineStr">
        <is>
          <t>Enterprise</t>
        </is>
      </c>
      <c r="J81" s="20" t="inlineStr">
        <is>
          <t>Mensal</t>
        </is>
      </c>
      <c r="K81" s="20" t="n">
        <v>63</v>
      </c>
      <c r="L81" s="20" t="inlineStr">
        <is>
          <t>41–80</t>
        </is>
      </c>
      <c r="M81" s="20" t="inlineStr">
        <is>
          <t>US</t>
        </is>
      </c>
      <c r="N81" s="20" t="inlineStr">
        <is>
          <t>Redução</t>
        </is>
      </c>
      <c r="O81" s="20" t="inlineStr">
        <is>
          <t>Redução</t>
        </is>
      </c>
      <c r="P81" s="20" t="inlineStr">
        <is>
          <t>Redução</t>
        </is>
      </c>
      <c r="Q81" s="20" t="n">
        <v>9</v>
      </c>
      <c r="R81" s="20" t="inlineStr"/>
      <c r="S81" s="20" t="inlineStr"/>
      <c r="T81" s="20" t="inlineStr"/>
      <c r="U81" s="20" t="inlineStr"/>
      <c r="V81" s="20" t="inlineStr"/>
      <c r="W81" s="20" t="inlineStr">
        <is>
          <t>Sim</t>
        </is>
      </c>
    </row>
    <row r="82">
      <c r="A82" s="20" t="inlineStr">
        <is>
          <t>S-8fd696</t>
        </is>
      </c>
      <c r="B82" s="20" t="inlineStr">
        <is>
          <t>A-dec005</t>
        </is>
      </c>
      <c r="C82" s="20" t="inlineStr">
        <is>
          <t>Rápida (&lt; 30 dias)</t>
        </is>
      </c>
      <c r="D82" s="20" t="inlineStr">
        <is>
          <t>Dez/24</t>
        </is>
      </c>
      <c r="E82" s="20" t="inlineStr">
        <is>
          <t>Não</t>
        </is>
      </c>
      <c r="F82" s="21" t="n">
        <v>45611</v>
      </c>
      <c r="G82" s="21" t="n">
        <v>45629</v>
      </c>
      <c r="H82" s="20" t="n">
        <v>18</v>
      </c>
      <c r="I82" s="20" t="inlineStr">
        <is>
          <t>Enterprise</t>
        </is>
      </c>
      <c r="J82" s="20" t="inlineStr">
        <is>
          <t>Anual</t>
        </is>
      </c>
      <c r="K82" s="20" t="n">
        <v>54</v>
      </c>
      <c r="L82" s="20" t="inlineStr">
        <is>
          <t>41–80</t>
        </is>
      </c>
      <c r="M82" s="20" t="inlineStr">
        <is>
          <t>US</t>
        </is>
      </c>
      <c r="N82" s="20" t="inlineStr">
        <is>
          <t>Redução</t>
        </is>
      </c>
      <c r="O82" s="20" t="inlineStr">
        <is>
          <t>Redução</t>
        </is>
      </c>
      <c r="P82" s="20" t="inlineStr">
        <is>
          <t>Redução</t>
        </is>
      </c>
      <c r="Q82" s="20" t="n">
        <v>9</v>
      </c>
      <c r="R82" s="20" t="inlineStr"/>
      <c r="S82" s="20" t="inlineStr"/>
      <c r="T82" s="20" t="inlineStr"/>
      <c r="U82" s="20" t="inlineStr"/>
      <c r="V82" s="20" t="inlineStr"/>
      <c r="W82" s="20" t="inlineStr">
        <is>
          <t>Sim</t>
        </is>
      </c>
    </row>
    <row r="83">
      <c r="A83" s="20" t="inlineStr">
        <is>
          <t>S-0267b7</t>
        </is>
      </c>
      <c r="B83" s="20" t="inlineStr">
        <is>
          <t>A-65a46c</t>
        </is>
      </c>
      <c r="C83" s="20" t="inlineStr">
        <is>
          <t>Lenta (30+ dias)</t>
        </is>
      </c>
      <c r="D83" s="20" t="inlineStr">
        <is>
          <t>Dez/24</t>
        </is>
      </c>
      <c r="E83" s="20" t="inlineStr">
        <is>
          <t>Não</t>
        </is>
      </c>
      <c r="F83" s="21" t="n">
        <v>45582</v>
      </c>
      <c r="G83" s="21" t="n">
        <v>45630</v>
      </c>
      <c r="H83" s="20" t="n">
        <v>48</v>
      </c>
      <c r="I83" s="20" t="inlineStr">
        <is>
          <t>Enterprise</t>
        </is>
      </c>
      <c r="J83" s="20" t="inlineStr">
        <is>
          <t>Mensal</t>
        </is>
      </c>
      <c r="K83" s="20" t="n">
        <v>13</v>
      </c>
      <c r="L83" s="20" t="inlineStr">
        <is>
          <t>11–20</t>
        </is>
      </c>
      <c r="M83" s="20" t="inlineStr">
        <is>
          <t>US</t>
        </is>
      </c>
      <c r="N83" s="20" t="inlineStr">
        <is>
          <t>Redução</t>
        </is>
      </c>
      <c r="O83" s="20" t="inlineStr">
        <is>
          <t>Redução</t>
        </is>
      </c>
      <c r="P83" s="20" t="inlineStr">
        <is>
          <t>Redução</t>
        </is>
      </c>
      <c r="Q83" s="20" t="n">
        <v>6</v>
      </c>
      <c r="R83" s="20" t="inlineStr"/>
      <c r="S83" s="20" t="inlineStr"/>
      <c r="T83" s="20" t="inlineStr"/>
      <c r="U83" s="20" t="inlineStr"/>
      <c r="V83" s="20" t="inlineStr"/>
      <c r="W83" s="20" t="inlineStr">
        <is>
          <t>Não</t>
        </is>
      </c>
    </row>
    <row r="84">
      <c r="A84" s="20" t="inlineStr">
        <is>
          <t>S-83b2ee</t>
        </is>
      </c>
      <c r="B84" s="20" t="inlineStr">
        <is>
          <t>A-7c83a1</t>
        </is>
      </c>
      <c r="C84" s="20" t="inlineStr">
        <is>
          <t>Lenta (30+ dias)</t>
        </is>
      </c>
      <c r="D84" s="20" t="inlineStr">
        <is>
          <t>Dez/24</t>
        </is>
      </c>
      <c r="E84" s="20" t="inlineStr">
        <is>
          <t>Não</t>
        </is>
      </c>
      <c r="F84" s="21" t="n">
        <v>45470</v>
      </c>
      <c r="G84" s="21" t="n">
        <v>45630</v>
      </c>
      <c r="H84" s="20" t="n">
        <v>160</v>
      </c>
      <c r="I84" s="20" t="inlineStr">
        <is>
          <t>Enterprise</t>
        </is>
      </c>
      <c r="J84" s="20" t="inlineStr">
        <is>
          <t>Mensal</t>
        </is>
      </c>
      <c r="K84" s="20" t="n">
        <v>26</v>
      </c>
      <c r="L84" s="20" t="inlineStr">
        <is>
          <t>21–40</t>
        </is>
      </c>
      <c r="M84" s="20" t="inlineStr">
        <is>
          <t>US</t>
        </is>
      </c>
      <c r="N84" s="20" t="inlineStr">
        <is>
          <t>Redução</t>
        </is>
      </c>
      <c r="O84" s="20" t="inlineStr">
        <is>
          <t>Redução</t>
        </is>
      </c>
      <c r="P84" s="20" t="inlineStr">
        <is>
          <t>Troca/ajuste</t>
        </is>
      </c>
      <c r="Q84" s="20" t="n">
        <v>8</v>
      </c>
      <c r="R84" s="20" t="inlineStr"/>
      <c r="S84" s="20" t="inlineStr"/>
      <c r="T84" s="20" t="inlineStr"/>
      <c r="U84" s="20" t="inlineStr"/>
      <c r="V84" s="20" t="inlineStr"/>
      <c r="W84" s="20" t="inlineStr">
        <is>
          <t>Não</t>
        </is>
      </c>
    </row>
    <row r="85">
      <c r="A85" s="20" t="inlineStr">
        <is>
          <t>S-aadf83</t>
        </is>
      </c>
      <c r="B85" s="20" t="inlineStr">
        <is>
          <t>A-700ade</t>
        </is>
      </c>
      <c r="C85" s="20" t="inlineStr">
        <is>
          <t>Rápida (&lt; 30 dias)</t>
        </is>
      </c>
      <c r="D85" s="20" t="inlineStr">
        <is>
          <t>Dez/24</t>
        </is>
      </c>
      <c r="E85" s="20" t="inlineStr">
        <is>
          <t>Não</t>
        </is>
      </c>
      <c r="F85" s="21" t="n">
        <v>45616</v>
      </c>
      <c r="G85" s="21" t="n">
        <v>45630</v>
      </c>
      <c r="H85" s="20" t="n">
        <v>14</v>
      </c>
      <c r="I85" s="20" t="inlineStr">
        <is>
          <t>Enterprise</t>
        </is>
      </c>
      <c r="J85" s="20" t="inlineStr">
        <is>
          <t>Anual</t>
        </is>
      </c>
      <c r="K85" s="20" t="n">
        <v>9</v>
      </c>
      <c r="L85" s="20" t="inlineStr">
        <is>
          <t>06–10</t>
        </is>
      </c>
      <c r="M85" s="20" t="inlineStr">
        <is>
          <t>UK</t>
        </is>
      </c>
      <c r="N85" s="20" t="inlineStr">
        <is>
          <t>Redução</t>
        </is>
      </c>
      <c r="O85" s="20" t="inlineStr">
        <is>
          <t>Redução</t>
        </is>
      </c>
      <c r="P85" s="20" t="inlineStr">
        <is>
          <t>Troca/ajuste</t>
        </is>
      </c>
      <c r="Q85" s="20" t="n">
        <v>5</v>
      </c>
      <c r="R85" s="20" t="inlineStr"/>
      <c r="S85" s="20" t="inlineStr"/>
      <c r="T85" s="20" t="inlineStr"/>
      <c r="U85" s="20" t="inlineStr"/>
      <c r="V85" s="20" t="inlineStr"/>
      <c r="W85" s="20" t="inlineStr">
        <is>
          <t>Não</t>
        </is>
      </c>
    </row>
    <row r="86">
      <c r="A86" s="20" t="inlineStr">
        <is>
          <t>S-c1f160</t>
        </is>
      </c>
      <c r="B86" s="20" t="inlineStr">
        <is>
          <t>A-ccabf0</t>
        </is>
      </c>
      <c r="C86" s="20" t="inlineStr">
        <is>
          <t>Lenta (30+ dias)</t>
        </is>
      </c>
      <c r="D86" s="20" t="inlineStr">
        <is>
          <t>Dez/24</t>
        </is>
      </c>
      <c r="E86" s="20" t="inlineStr">
        <is>
          <t>Não</t>
        </is>
      </c>
      <c r="F86" s="21" t="n">
        <v>45487</v>
      </c>
      <c r="G86" s="21" t="n">
        <v>45630</v>
      </c>
      <c r="H86" s="20" t="n">
        <v>143</v>
      </c>
      <c r="I86" s="20" t="inlineStr">
        <is>
          <t>Pro</t>
        </is>
      </c>
      <c r="J86" s="20" t="inlineStr">
        <is>
          <t>Anual</t>
        </is>
      </c>
      <c r="K86" s="20" t="n">
        <v>2</v>
      </c>
      <c r="L86" s="20" t="inlineStr">
        <is>
          <t>01–05</t>
        </is>
      </c>
      <c r="M86" s="20" t="inlineStr">
        <is>
          <t>IN</t>
        </is>
      </c>
      <c r="N86" s="20" t="inlineStr">
        <is>
          <t>Redução</t>
        </is>
      </c>
      <c r="O86" s="20" t="inlineStr">
        <is>
          <t>Redução</t>
        </is>
      </c>
      <c r="P86" s="20" t="inlineStr">
        <is>
          <t>Redução</t>
        </is>
      </c>
      <c r="Q86" s="20" t="n">
        <v>8</v>
      </c>
      <c r="R86" s="20" t="inlineStr"/>
      <c r="S86" s="20" t="inlineStr"/>
      <c r="T86" s="20" t="inlineStr"/>
      <c r="U86" s="20" t="inlineStr"/>
      <c r="V86" s="20" t="inlineStr"/>
      <c r="W86" s="20" t="inlineStr">
        <is>
          <t>Não</t>
        </is>
      </c>
    </row>
    <row r="87">
      <c r="A87" s="20" t="inlineStr">
        <is>
          <t>S-30fa6f</t>
        </is>
      </c>
      <c r="B87" s="20" t="inlineStr">
        <is>
          <t>A-e1b9cd</t>
        </is>
      </c>
      <c r="C87" s="20" t="inlineStr">
        <is>
          <t>Lenta (30+ dias)</t>
        </is>
      </c>
      <c r="D87" s="20" t="inlineStr">
        <is>
          <t>Dez/24</t>
        </is>
      </c>
      <c r="E87" s="20" t="inlineStr">
        <is>
          <t>Não</t>
        </is>
      </c>
      <c r="F87" s="21" t="n">
        <v>45006</v>
      </c>
      <c r="G87" s="21" t="n">
        <v>45630</v>
      </c>
      <c r="H87" s="20" t="n">
        <v>624</v>
      </c>
      <c r="I87" s="20" t="inlineStr">
        <is>
          <t>Pro</t>
        </is>
      </c>
      <c r="J87" s="20" t="inlineStr">
        <is>
          <t>Mensal</t>
        </is>
      </c>
      <c r="K87" s="20" t="n">
        <v>40</v>
      </c>
      <c r="L87" s="20" t="inlineStr">
        <is>
          <t>21–40</t>
        </is>
      </c>
      <c r="M87" s="20" t="inlineStr">
        <is>
          <t>US</t>
        </is>
      </c>
      <c r="N87" s="20" t="inlineStr">
        <is>
          <t>Troca/ajuste</t>
        </is>
      </c>
      <c r="O87" s="20" t="inlineStr">
        <is>
          <t>Troca/ajuste</t>
        </is>
      </c>
      <c r="P87" s="20" t="inlineStr">
        <is>
          <t>Troca/ajuste</t>
        </is>
      </c>
      <c r="Q87" s="20" t="n">
        <v>10</v>
      </c>
      <c r="R87" s="20" t="inlineStr">
        <is>
          <t>S-6c1ca6</t>
        </is>
      </c>
      <c r="S87" s="20" t="inlineStr">
        <is>
          <t>S-6c1ca6</t>
        </is>
      </c>
      <c r="T87" s="20" t="inlineStr">
        <is>
          <t>Mesmo plano</t>
        </is>
      </c>
      <c r="U87" s="20" t="inlineStr">
        <is>
          <t>Mesma cobrança</t>
        </is>
      </c>
      <c r="V87" s="20" t="inlineStr">
        <is>
          <t>Mesmos seats</t>
        </is>
      </c>
      <c r="W87" s="20" t="inlineStr">
        <is>
          <t>Não</t>
        </is>
      </c>
    </row>
    <row r="88">
      <c r="A88" s="20" t="inlineStr">
        <is>
          <t>S-41ea32</t>
        </is>
      </c>
      <c r="B88" s="20" t="inlineStr">
        <is>
          <t>A-054577</t>
        </is>
      </c>
      <c r="C88" s="20" t="inlineStr">
        <is>
          <t>Lenta (30+ dias)</t>
        </is>
      </c>
      <c r="D88" s="20" t="inlineStr">
        <is>
          <t>Dez/24</t>
        </is>
      </c>
      <c r="E88" s="20" t="inlineStr">
        <is>
          <t>Não</t>
        </is>
      </c>
      <c r="F88" s="21" t="n">
        <v>45587</v>
      </c>
      <c r="G88" s="21" t="n">
        <v>45631</v>
      </c>
      <c r="H88" s="20" t="n">
        <v>44</v>
      </c>
      <c r="I88" s="20" t="inlineStr">
        <is>
          <t>Basic</t>
        </is>
      </c>
      <c r="J88" s="20" t="inlineStr">
        <is>
          <t>Mensal</t>
        </is>
      </c>
      <c r="K88" s="20" t="n">
        <v>24</v>
      </c>
      <c r="L88" s="20" t="inlineStr">
        <is>
          <t>21–40</t>
        </is>
      </c>
      <c r="M88" s="20" t="inlineStr">
        <is>
          <t>UK</t>
        </is>
      </c>
      <c r="N88" s="20" t="inlineStr">
        <is>
          <t>Troca/ajuste</t>
        </is>
      </c>
      <c r="O88" s="20" t="inlineStr">
        <is>
          <t>Redução</t>
        </is>
      </c>
      <c r="P88" s="20" t="inlineStr">
        <is>
          <t>Troca/ajuste</t>
        </is>
      </c>
      <c r="Q88" s="20" t="n">
        <v>13</v>
      </c>
      <c r="R88" s="20" t="inlineStr">
        <is>
          <t>S-8a37c8, S-606d6d, S-d041d2, S-62c088</t>
        </is>
      </c>
      <c r="S88" s="20" t="inlineStr">
        <is>
          <t>S-8a37c8</t>
        </is>
      </c>
      <c r="T88" s="20" t="inlineStr">
        <is>
          <t>Plano acima</t>
        </is>
      </c>
      <c r="U88" s="20" t="inlineStr">
        <is>
          <t>Mesma cobrança</t>
        </is>
      </c>
      <c r="V88" s="20" t="inlineStr">
        <is>
          <t>Menos seats</t>
        </is>
      </c>
      <c r="W88" s="20" t="inlineStr">
        <is>
          <t>Não</t>
        </is>
      </c>
    </row>
    <row r="89">
      <c r="A89" s="20" t="inlineStr">
        <is>
          <t>S-9b2c95</t>
        </is>
      </c>
      <c r="B89" s="20" t="inlineStr">
        <is>
          <t>A-e60f9d</t>
        </is>
      </c>
      <c r="C89" s="20" t="inlineStr">
        <is>
          <t>Rápida (&lt; 30 dias)</t>
        </is>
      </c>
      <c r="D89" s="20" t="inlineStr">
        <is>
          <t>Dez/24</t>
        </is>
      </c>
      <c r="E89" s="20" t="inlineStr">
        <is>
          <t>Não</t>
        </is>
      </c>
      <c r="F89" s="21" t="n">
        <v>45620</v>
      </c>
      <c r="G89" s="21" t="n">
        <v>45631</v>
      </c>
      <c r="H89" s="20" t="n">
        <v>11</v>
      </c>
      <c r="I89" s="20" t="inlineStr">
        <is>
          <t>Pro</t>
        </is>
      </c>
      <c r="J89" s="20" t="inlineStr">
        <is>
          <t>Anual</t>
        </is>
      </c>
      <c r="K89" s="20" t="n">
        <v>29</v>
      </c>
      <c r="L89" s="20" t="inlineStr">
        <is>
          <t>21–40</t>
        </is>
      </c>
      <c r="M89" s="20" t="inlineStr">
        <is>
          <t>US</t>
        </is>
      </c>
      <c r="N89" s="20" t="inlineStr">
        <is>
          <t>Troca/ajuste</t>
        </is>
      </c>
      <c r="O89" s="20" t="inlineStr">
        <is>
          <t>Troca/ajuste</t>
        </is>
      </c>
      <c r="P89" s="20" t="inlineStr">
        <is>
          <t>Troca/ajuste</t>
        </is>
      </c>
      <c r="Q89" s="20" t="n">
        <v>9</v>
      </c>
      <c r="R89" s="20" t="inlineStr">
        <is>
          <t>S-172953, S-3e3033, S-a8299c</t>
        </is>
      </c>
      <c r="S89" s="20" t="inlineStr">
        <is>
          <t>S-a8299c</t>
        </is>
      </c>
      <c r="T89" s="20" t="inlineStr">
        <is>
          <t>Plano acima</t>
        </is>
      </c>
      <c r="U89" s="20" t="inlineStr">
        <is>
          <t>Mudou para mensal</t>
        </is>
      </c>
      <c r="V89" s="20" t="inlineStr">
        <is>
          <t>Mesmos seats</t>
        </is>
      </c>
      <c r="W89" s="20" t="inlineStr">
        <is>
          <t>Não</t>
        </is>
      </c>
    </row>
    <row r="90">
      <c r="A90" s="20" t="inlineStr">
        <is>
          <t>S-3781d0</t>
        </is>
      </c>
      <c r="B90" s="20" t="inlineStr">
        <is>
          <t>A-5a215a</t>
        </is>
      </c>
      <c r="C90" s="20" t="inlineStr">
        <is>
          <t>Lenta (30+ dias)</t>
        </is>
      </c>
      <c r="D90" s="20" t="inlineStr">
        <is>
          <t>Dez/24</t>
        </is>
      </c>
      <c r="E90" s="20" t="inlineStr">
        <is>
          <t>Não</t>
        </is>
      </c>
      <c r="F90" s="21" t="n">
        <v>45422</v>
      </c>
      <c r="G90" s="21" t="n">
        <v>45632</v>
      </c>
      <c r="H90" s="20" t="n">
        <v>210</v>
      </c>
      <c r="I90" s="20" t="inlineStr">
        <is>
          <t>Enterprise</t>
        </is>
      </c>
      <c r="J90" s="20" t="inlineStr">
        <is>
          <t>Anual</t>
        </is>
      </c>
      <c r="K90" s="20" t="n">
        <v>87</v>
      </c>
      <c r="L90" s="20" t="inlineStr">
        <is>
          <t>81 ou mais</t>
        </is>
      </c>
      <c r="M90" s="20" t="inlineStr">
        <is>
          <t>FR</t>
        </is>
      </c>
      <c r="N90" s="20" t="inlineStr">
        <is>
          <t>Troca/ajuste</t>
        </is>
      </c>
      <c r="O90" s="20" t="inlineStr">
        <is>
          <t>Redução</t>
        </is>
      </c>
      <c r="P90" s="20" t="inlineStr">
        <is>
          <t>Troca/ajuste</t>
        </is>
      </c>
      <c r="Q90" s="20" t="n">
        <v>12</v>
      </c>
      <c r="R90" s="20" t="inlineStr">
        <is>
          <t>S-878fe0</t>
        </is>
      </c>
      <c r="S90" s="20" t="inlineStr">
        <is>
          <t>S-878fe0</t>
        </is>
      </c>
      <c r="T90" s="20" t="inlineStr">
        <is>
          <t>Plano abaixo</t>
        </is>
      </c>
      <c r="U90" s="20" t="inlineStr">
        <is>
          <t>Mesma cobrança</t>
        </is>
      </c>
      <c r="V90" s="20" t="inlineStr">
        <is>
          <t>Mesmos seats</t>
        </is>
      </c>
      <c r="W90" s="20" t="inlineStr">
        <is>
          <t>Não</t>
        </is>
      </c>
    </row>
    <row r="91">
      <c r="A91" s="20" t="inlineStr">
        <is>
          <t>S-dd3b36</t>
        </is>
      </c>
      <c r="B91" s="20" t="inlineStr">
        <is>
          <t>A-1b7577</t>
        </is>
      </c>
      <c r="C91" s="20" t="inlineStr">
        <is>
          <t>Rápida (&lt; 30 dias)</t>
        </is>
      </c>
      <c r="D91" s="20" t="inlineStr">
        <is>
          <t>Dez/24</t>
        </is>
      </c>
      <c r="E91" s="20" t="inlineStr">
        <is>
          <t>Não</t>
        </is>
      </c>
      <c r="F91" s="21" t="n">
        <v>45622</v>
      </c>
      <c r="G91" s="21" t="n">
        <v>45632</v>
      </c>
      <c r="H91" s="20" t="n">
        <v>10</v>
      </c>
      <c r="I91" s="20" t="inlineStr">
        <is>
          <t>Basic</t>
        </is>
      </c>
      <c r="J91" s="20" t="inlineStr">
        <is>
          <t>Mensal</t>
        </is>
      </c>
      <c r="K91" s="20" t="n">
        <v>4</v>
      </c>
      <c r="L91" s="20" t="inlineStr">
        <is>
          <t>01–05</t>
        </is>
      </c>
      <c r="M91" s="20" t="inlineStr">
        <is>
          <t>US</t>
        </is>
      </c>
      <c r="N91" s="20" t="inlineStr">
        <is>
          <t>Troca/ajuste</t>
        </is>
      </c>
      <c r="O91" s="20" t="inlineStr">
        <is>
          <t>Troca/ajuste</t>
        </is>
      </c>
      <c r="P91" s="20" t="inlineStr">
        <is>
          <t>Troca/ajuste</t>
        </is>
      </c>
      <c r="Q91" s="20" t="n">
        <v>6</v>
      </c>
      <c r="R91" s="20" t="inlineStr">
        <is>
          <t>S-001561, S-5bbb53</t>
        </is>
      </c>
      <c r="S91" s="20" t="inlineStr">
        <is>
          <t>S-5bbb53</t>
        </is>
      </c>
      <c r="T91" s="20" t="inlineStr">
        <is>
          <t>Plano acima</t>
        </is>
      </c>
      <c r="U91" s="20" t="inlineStr">
        <is>
          <t>Mudou para anual</t>
        </is>
      </c>
      <c r="V91" s="20" t="inlineStr">
        <is>
          <t>Mesmos seats</t>
        </is>
      </c>
      <c r="W91" s="20" t="inlineStr">
        <is>
          <t>Não</t>
        </is>
      </c>
    </row>
    <row r="92">
      <c r="A92" s="20" t="inlineStr">
        <is>
          <t>S-195cd5</t>
        </is>
      </c>
      <c r="B92" s="20" t="inlineStr">
        <is>
          <t>A-ae052e</t>
        </is>
      </c>
      <c r="C92" s="20" t="inlineStr">
        <is>
          <t>Rápida (&lt; 30 dias)</t>
        </is>
      </c>
      <c r="D92" s="20" t="inlineStr">
        <is>
          <t>Dez/24</t>
        </is>
      </c>
      <c r="E92" s="20" t="inlineStr">
        <is>
          <t>Não</t>
        </is>
      </c>
      <c r="F92" s="21" t="n">
        <v>45624</v>
      </c>
      <c r="G92" s="21" t="n">
        <v>45632</v>
      </c>
      <c r="H92" s="20" t="n">
        <v>8</v>
      </c>
      <c r="I92" s="20" t="inlineStr">
        <is>
          <t>Pro</t>
        </is>
      </c>
      <c r="J92" s="20" t="inlineStr">
        <is>
          <t>Mensal</t>
        </is>
      </c>
      <c r="K92" s="20" t="n">
        <v>40</v>
      </c>
      <c r="L92" s="20" t="inlineStr">
        <is>
          <t>21–40</t>
        </is>
      </c>
      <c r="M92" s="20" t="inlineStr">
        <is>
          <t>CA</t>
        </is>
      </c>
      <c r="N92" s="20" t="inlineStr">
        <is>
          <t>Redução</t>
        </is>
      </c>
      <c r="O92" s="20" t="inlineStr">
        <is>
          <t>Redução</t>
        </is>
      </c>
      <c r="P92" s="20" t="inlineStr">
        <is>
          <t>Troca/ajuste</t>
        </is>
      </c>
      <c r="Q92" s="20" t="n">
        <v>3</v>
      </c>
      <c r="R92" s="20" t="inlineStr"/>
      <c r="S92" s="20" t="inlineStr"/>
      <c r="T92" s="20" t="inlineStr"/>
      <c r="U92" s="20" t="inlineStr"/>
      <c r="V92" s="20" t="inlineStr"/>
      <c r="W92" s="20" t="inlineStr">
        <is>
          <t>Sim</t>
        </is>
      </c>
    </row>
    <row r="93">
      <c r="A93" s="20" t="inlineStr">
        <is>
          <t>S-936732</t>
        </is>
      </c>
      <c r="B93" s="20" t="inlineStr">
        <is>
          <t>A-2f6a32</t>
        </is>
      </c>
      <c r="C93" s="20" t="inlineStr">
        <is>
          <t>Rápida (&lt; 30 dias)</t>
        </is>
      </c>
      <c r="D93" s="20" t="inlineStr">
        <is>
          <t>Dez/24</t>
        </is>
      </c>
      <c r="E93" s="20" t="inlineStr">
        <is>
          <t>Não</t>
        </is>
      </c>
      <c r="F93" s="21" t="n">
        <v>45624</v>
      </c>
      <c r="G93" s="21" t="n">
        <v>45632</v>
      </c>
      <c r="H93" s="20" t="n">
        <v>8</v>
      </c>
      <c r="I93" s="20" t="inlineStr">
        <is>
          <t>Pro</t>
        </is>
      </c>
      <c r="J93" s="20" t="inlineStr">
        <is>
          <t>Anual</t>
        </is>
      </c>
      <c r="K93" s="20" t="n">
        <v>19</v>
      </c>
      <c r="L93" s="20" t="inlineStr">
        <is>
          <t>11–20</t>
        </is>
      </c>
      <c r="M93" s="20" t="inlineStr">
        <is>
          <t>US</t>
        </is>
      </c>
      <c r="N93" s="20" t="inlineStr">
        <is>
          <t>Troca/ajuste</t>
        </is>
      </c>
      <c r="O93" s="20" t="inlineStr">
        <is>
          <t>Troca/ajuste</t>
        </is>
      </c>
      <c r="P93" s="20" t="inlineStr">
        <is>
          <t>Troca/ajuste</t>
        </is>
      </c>
      <c r="Q93" s="20" t="n">
        <v>8</v>
      </c>
      <c r="R93" s="20" t="inlineStr">
        <is>
          <t>S-55d53c, S-dc3e11</t>
        </is>
      </c>
      <c r="S93" s="20" t="inlineStr">
        <is>
          <t>S-55d53c</t>
        </is>
      </c>
      <c r="T93" s="20" t="inlineStr">
        <is>
          <t>Plano abaixo</t>
        </is>
      </c>
      <c r="U93" s="20" t="inlineStr">
        <is>
          <t>Mesma cobrança</t>
        </is>
      </c>
      <c r="V93" s="20" t="inlineStr">
        <is>
          <t>Mesmos seats</t>
        </is>
      </c>
      <c r="W93" s="20" t="inlineStr">
        <is>
          <t>Não</t>
        </is>
      </c>
    </row>
    <row r="94">
      <c r="A94" s="20" t="inlineStr">
        <is>
          <t>S-8a9db8</t>
        </is>
      </c>
      <c r="B94" s="20" t="inlineStr">
        <is>
          <t>A-474ad4</t>
        </is>
      </c>
      <c r="C94" s="20" t="inlineStr">
        <is>
          <t>Rápida (&lt; 30 dias)</t>
        </is>
      </c>
      <c r="D94" s="20" t="inlineStr">
        <is>
          <t>Dez/24</t>
        </is>
      </c>
      <c r="E94" s="20" t="inlineStr">
        <is>
          <t>Não</t>
        </is>
      </c>
      <c r="F94" s="21" t="n">
        <v>45626</v>
      </c>
      <c r="G94" s="21" t="n">
        <v>45633</v>
      </c>
      <c r="H94" s="20" t="n">
        <v>7</v>
      </c>
      <c r="I94" s="20" t="inlineStr">
        <is>
          <t>Enterprise</t>
        </is>
      </c>
      <c r="J94" s="20" t="inlineStr">
        <is>
          <t>Anual</t>
        </is>
      </c>
      <c r="K94" s="20" t="n">
        <v>8</v>
      </c>
      <c r="L94" s="20" t="inlineStr">
        <is>
          <t>06–10</t>
        </is>
      </c>
      <c r="M94" s="20" t="inlineStr">
        <is>
          <t>US</t>
        </is>
      </c>
      <c r="N94" s="20" t="inlineStr">
        <is>
          <t>Troca/ajuste</t>
        </is>
      </c>
      <c r="O94" s="20" t="inlineStr">
        <is>
          <t>Redução</t>
        </is>
      </c>
      <c r="P94" s="20" t="inlineStr">
        <is>
          <t>Troca/ajuste</t>
        </is>
      </c>
      <c r="Q94" s="20" t="n">
        <v>12</v>
      </c>
      <c r="R94" s="20" t="inlineStr">
        <is>
          <t>S-3660bb</t>
        </is>
      </c>
      <c r="S94" s="20" t="inlineStr">
        <is>
          <t>S-3660bb</t>
        </is>
      </c>
      <c r="T94" s="20" t="inlineStr">
        <is>
          <t>Mesmo plano</t>
        </is>
      </c>
      <c r="U94" s="20" t="inlineStr">
        <is>
          <t>Mudou para mensal</t>
        </is>
      </c>
      <c r="V94" s="20" t="inlineStr">
        <is>
          <t>Mais seats</t>
        </is>
      </c>
      <c r="W94" s="20" t="inlineStr">
        <is>
          <t>Não</t>
        </is>
      </c>
    </row>
    <row r="95">
      <c r="A95" s="20" t="inlineStr">
        <is>
          <t>S-731ee3</t>
        </is>
      </c>
      <c r="B95" s="20" t="inlineStr">
        <is>
          <t>A-9077b0</t>
        </is>
      </c>
      <c r="C95" s="20" t="inlineStr">
        <is>
          <t>Rápida (&lt; 30 dias)</t>
        </is>
      </c>
      <c r="D95" s="20" t="inlineStr">
        <is>
          <t>Dez/24</t>
        </is>
      </c>
      <c r="E95" s="20" t="inlineStr">
        <is>
          <t>Não</t>
        </is>
      </c>
      <c r="F95" s="21" t="n">
        <v>45605</v>
      </c>
      <c r="G95" s="21" t="n">
        <v>45633</v>
      </c>
      <c r="H95" s="20" t="n">
        <v>28</v>
      </c>
      <c r="I95" s="20" t="inlineStr">
        <is>
          <t>Enterprise</t>
        </is>
      </c>
      <c r="J95" s="20" t="inlineStr">
        <is>
          <t>Anual</t>
        </is>
      </c>
      <c r="K95" s="20" t="n">
        <v>14</v>
      </c>
      <c r="L95" s="20" t="inlineStr">
        <is>
          <t>11–20</t>
        </is>
      </c>
      <c r="M95" s="20" t="inlineStr">
        <is>
          <t>US</t>
        </is>
      </c>
      <c r="N95" s="20" t="inlineStr">
        <is>
          <t>Troca/ajuste</t>
        </is>
      </c>
      <c r="O95" s="20" t="inlineStr">
        <is>
          <t>Troca/ajuste</t>
        </is>
      </c>
      <c r="P95" s="20" t="inlineStr">
        <is>
          <t>Troca/ajuste</t>
        </is>
      </c>
      <c r="Q95" s="20" t="n">
        <v>2</v>
      </c>
      <c r="R95" s="20" t="inlineStr">
        <is>
          <t>S-535e55, S-3af429</t>
        </is>
      </c>
      <c r="S95" s="20" t="inlineStr">
        <is>
          <t>S-535e55</t>
        </is>
      </c>
      <c r="T95" s="20" t="inlineStr">
        <is>
          <t>Plano abaixo</t>
        </is>
      </c>
      <c r="U95" s="20" t="inlineStr">
        <is>
          <t>Mudou para mensal</t>
        </is>
      </c>
      <c r="V95" s="20" t="inlineStr">
        <is>
          <t>Menos seats</t>
        </is>
      </c>
      <c r="W95" s="20" t="inlineStr">
        <is>
          <t>Não</t>
        </is>
      </c>
    </row>
    <row r="96">
      <c r="A96" s="20" t="inlineStr">
        <is>
          <t>S-e3903e</t>
        </is>
      </c>
      <c r="B96" s="20" t="inlineStr">
        <is>
          <t>A-6da850</t>
        </is>
      </c>
      <c r="C96" s="20" t="inlineStr">
        <is>
          <t>Lenta (30+ dias)</t>
        </is>
      </c>
      <c r="D96" s="20" t="inlineStr">
        <is>
          <t>Dez/24</t>
        </is>
      </c>
      <c r="E96" s="20" t="inlineStr">
        <is>
          <t>Não</t>
        </is>
      </c>
      <c r="F96" s="21" t="n">
        <v>45581</v>
      </c>
      <c r="G96" s="21" t="n">
        <v>45634</v>
      </c>
      <c r="H96" s="20" t="n">
        <v>53</v>
      </c>
      <c r="I96" s="20" t="inlineStr">
        <is>
          <t>Pro</t>
        </is>
      </c>
      <c r="J96" s="20" t="inlineStr">
        <is>
          <t>Anual</t>
        </is>
      </c>
      <c r="K96" s="20" t="n">
        <v>31</v>
      </c>
      <c r="L96" s="20" t="inlineStr">
        <is>
          <t>21–40</t>
        </is>
      </c>
      <c r="M96" s="20" t="inlineStr">
        <is>
          <t>IN</t>
        </is>
      </c>
      <c r="N96" s="20" t="inlineStr">
        <is>
          <t>Redução</t>
        </is>
      </c>
      <c r="O96" s="20" t="inlineStr">
        <is>
          <t>Redução</t>
        </is>
      </c>
      <c r="P96" s="20" t="inlineStr">
        <is>
          <t>Redução</t>
        </is>
      </c>
      <c r="Q96" s="20" t="n">
        <v>13</v>
      </c>
      <c r="R96" s="20" t="inlineStr"/>
      <c r="S96" s="20" t="inlineStr"/>
      <c r="T96" s="20" t="inlineStr"/>
      <c r="U96" s="20" t="inlineStr"/>
      <c r="V96" s="20" t="inlineStr"/>
      <c r="W96" s="20" t="inlineStr">
        <is>
          <t>Não</t>
        </is>
      </c>
    </row>
    <row r="97">
      <c r="A97" s="20" t="inlineStr">
        <is>
          <t>S-ef2a21</t>
        </is>
      </c>
      <c r="B97" s="20" t="inlineStr">
        <is>
          <t>A-427b69</t>
        </is>
      </c>
      <c r="C97" s="20" t="inlineStr">
        <is>
          <t>Rápida (&lt; 30 dias)</t>
        </is>
      </c>
      <c r="D97" s="20" t="inlineStr">
        <is>
          <t>Dez/24</t>
        </is>
      </c>
      <c r="E97" s="20" t="inlineStr">
        <is>
          <t>Não</t>
        </is>
      </c>
      <c r="F97" s="21" t="n">
        <v>45624</v>
      </c>
      <c r="G97" s="21" t="n">
        <v>45635</v>
      </c>
      <c r="H97" s="20" t="n">
        <v>11</v>
      </c>
      <c r="I97" s="20" t="inlineStr">
        <is>
          <t>Pro</t>
        </is>
      </c>
      <c r="J97" s="20" t="inlineStr">
        <is>
          <t>Anual</t>
        </is>
      </c>
      <c r="K97" s="20" t="n">
        <v>36</v>
      </c>
      <c r="L97" s="20" t="inlineStr">
        <is>
          <t>21–40</t>
        </is>
      </c>
      <c r="M97" s="20" t="inlineStr">
        <is>
          <t>US</t>
        </is>
      </c>
      <c r="N97" s="20" t="inlineStr">
        <is>
          <t>Troca/ajuste</t>
        </is>
      </c>
      <c r="O97" s="20" t="inlineStr">
        <is>
          <t>Troca/ajuste</t>
        </is>
      </c>
      <c r="P97" s="20" t="inlineStr">
        <is>
          <t>Troca/ajuste</t>
        </is>
      </c>
      <c r="Q97" s="20" t="n">
        <v>8</v>
      </c>
      <c r="R97" s="20" t="inlineStr">
        <is>
          <t>S-f7b517, S-59edf9, S-599207</t>
        </is>
      </c>
      <c r="S97" s="20" t="inlineStr">
        <is>
          <t>S-f7b517</t>
        </is>
      </c>
      <c r="T97" s="20" t="inlineStr">
        <is>
          <t>Mesmo plano</t>
        </is>
      </c>
      <c r="U97" s="20" t="inlineStr">
        <is>
          <t>Mudou para mensal</t>
        </is>
      </c>
      <c r="V97" s="20" t="inlineStr">
        <is>
          <t>Menos seats</t>
        </is>
      </c>
      <c r="W97" s="20" t="inlineStr">
        <is>
          <t>Não</t>
        </is>
      </c>
    </row>
    <row r="98">
      <c r="A98" s="20" t="inlineStr">
        <is>
          <t>S-8c767b</t>
        </is>
      </c>
      <c r="B98" s="20" t="inlineStr">
        <is>
          <t>A-b07b56</t>
        </is>
      </c>
      <c r="C98" s="20" t="inlineStr">
        <is>
          <t>Rápida (&lt; 30 dias)</t>
        </is>
      </c>
      <c r="D98" s="20" t="inlineStr">
        <is>
          <t>Dez/24</t>
        </is>
      </c>
      <c r="E98" s="20" t="inlineStr">
        <is>
          <t>Não</t>
        </is>
      </c>
      <c r="F98" s="21" t="n">
        <v>45629</v>
      </c>
      <c r="G98" s="21" t="n">
        <v>45635</v>
      </c>
      <c r="H98" s="20" t="n">
        <v>6</v>
      </c>
      <c r="I98" s="20" t="inlineStr">
        <is>
          <t>Enterprise</t>
        </is>
      </c>
      <c r="J98" s="20" t="inlineStr">
        <is>
          <t>Mensal</t>
        </is>
      </c>
      <c r="K98" s="20" t="n">
        <v>29</v>
      </c>
      <c r="L98" s="20" t="inlineStr">
        <is>
          <t>21–40</t>
        </is>
      </c>
      <c r="M98" s="20" t="inlineStr">
        <is>
          <t>US</t>
        </is>
      </c>
      <c r="N98" s="20" t="inlineStr">
        <is>
          <t>Troca/ajuste</t>
        </is>
      </c>
      <c r="O98" s="20" t="inlineStr">
        <is>
          <t>Troca/ajuste</t>
        </is>
      </c>
      <c r="P98" s="20" t="inlineStr">
        <is>
          <t>Troca/ajuste</t>
        </is>
      </c>
      <c r="Q98" s="20" t="n">
        <v>9</v>
      </c>
      <c r="R98" s="20" t="inlineStr">
        <is>
          <t>S-b95110, S-0bb284, S-155e15, S-53b07a</t>
        </is>
      </c>
      <c r="S98" s="20" t="inlineStr">
        <is>
          <t>S-53b07a</t>
        </is>
      </c>
      <c r="T98" s="20" t="inlineStr">
        <is>
          <t>Plano abaixo</t>
        </is>
      </c>
      <c r="U98" s="20" t="inlineStr">
        <is>
          <t>Mudou para anual</t>
        </is>
      </c>
      <c r="V98" s="20" t="inlineStr">
        <is>
          <t>Menos seats</t>
        </is>
      </c>
      <c r="W98" s="20" t="inlineStr">
        <is>
          <t>Sim</t>
        </is>
      </c>
    </row>
    <row r="99">
      <c r="A99" s="20" t="inlineStr">
        <is>
          <t>S-dcd084</t>
        </is>
      </c>
      <c r="B99" s="20" t="inlineStr">
        <is>
          <t>A-d27f50</t>
        </is>
      </c>
      <c r="C99" s="20" t="inlineStr">
        <is>
          <t>Rápida (&lt; 30 dias)</t>
        </is>
      </c>
      <c r="D99" s="20" t="inlineStr">
        <is>
          <t>Dez/24</t>
        </is>
      </c>
      <c r="E99" s="20" t="inlineStr">
        <is>
          <t>Não</t>
        </is>
      </c>
      <c r="F99" s="21" t="n">
        <v>45631</v>
      </c>
      <c r="G99" s="21" t="n">
        <v>45635</v>
      </c>
      <c r="H99" s="20" t="n">
        <v>4</v>
      </c>
      <c r="I99" s="20" t="inlineStr">
        <is>
          <t>Enterprise</t>
        </is>
      </c>
      <c r="J99" s="20" t="inlineStr">
        <is>
          <t>Anual</t>
        </is>
      </c>
      <c r="K99" s="20" t="n">
        <v>48</v>
      </c>
      <c r="L99" s="20" t="inlineStr">
        <is>
          <t>41–80</t>
        </is>
      </c>
      <c r="M99" s="20" t="inlineStr">
        <is>
          <t>UK</t>
        </is>
      </c>
      <c r="N99" s="20" t="inlineStr">
        <is>
          <t>Troca/ajuste</t>
        </is>
      </c>
      <c r="O99" s="20" t="inlineStr">
        <is>
          <t>Troca/ajuste</t>
        </is>
      </c>
      <c r="P99" s="20" t="inlineStr">
        <is>
          <t>Troca/ajuste</t>
        </is>
      </c>
      <c r="Q99" s="20" t="n">
        <v>8</v>
      </c>
      <c r="R99" s="20" t="inlineStr">
        <is>
          <t>S-a918f3, S-e2f1fd, S-26da35</t>
        </is>
      </c>
      <c r="S99" s="20" t="inlineStr">
        <is>
          <t>S-26da35</t>
        </is>
      </c>
      <c r="T99" s="20" t="inlineStr">
        <is>
          <t>Plano abaixo</t>
        </is>
      </c>
      <c r="U99" s="20" t="inlineStr">
        <is>
          <t>Mesma cobrança</t>
        </is>
      </c>
      <c r="V99" s="20" t="inlineStr">
        <is>
          <t>Menos seats</t>
        </is>
      </c>
      <c r="W99" s="20" t="inlineStr">
        <is>
          <t>Não</t>
        </is>
      </c>
    </row>
    <row r="100">
      <c r="A100" s="20" t="inlineStr">
        <is>
          <t>S-76b176</t>
        </is>
      </c>
      <c r="B100" s="20" t="inlineStr">
        <is>
          <t>A-6da850</t>
        </is>
      </c>
      <c r="C100" s="20" t="inlineStr">
        <is>
          <t>Rápida (&lt; 30 dias)</t>
        </is>
      </c>
      <c r="D100" s="20" t="inlineStr">
        <is>
          <t>Dez/24</t>
        </is>
      </c>
      <c r="E100" s="20" t="inlineStr">
        <is>
          <t>Não</t>
        </is>
      </c>
      <c r="F100" s="21" t="n">
        <v>45606</v>
      </c>
      <c r="G100" s="21" t="n">
        <v>45635</v>
      </c>
      <c r="H100" s="20" t="n">
        <v>29</v>
      </c>
      <c r="I100" s="20" t="inlineStr">
        <is>
          <t>Pro</t>
        </is>
      </c>
      <c r="J100" s="20" t="inlineStr">
        <is>
          <t>Mensal</t>
        </is>
      </c>
      <c r="K100" s="20" t="n">
        <v>8</v>
      </c>
      <c r="L100" s="20" t="inlineStr">
        <is>
          <t>06–10</t>
        </is>
      </c>
      <c r="M100" s="20" t="inlineStr">
        <is>
          <t>IN</t>
        </is>
      </c>
      <c r="N100" s="20" t="inlineStr">
        <is>
          <t>Redução</t>
        </is>
      </c>
      <c r="O100" s="20" t="inlineStr">
        <is>
          <t>Redução</t>
        </is>
      </c>
      <c r="P100" s="20" t="inlineStr">
        <is>
          <t>Redução</t>
        </is>
      </c>
      <c r="Q100" s="20" t="n">
        <v>12</v>
      </c>
      <c r="R100" s="20" t="inlineStr"/>
      <c r="S100" s="20" t="inlineStr"/>
      <c r="T100" s="20" t="inlineStr"/>
      <c r="U100" s="20" t="inlineStr"/>
      <c r="V100" s="20" t="inlineStr"/>
      <c r="W100" s="20" t="inlineStr">
        <is>
          <t>Não</t>
        </is>
      </c>
    </row>
    <row r="101">
      <c r="A101" s="20" t="inlineStr">
        <is>
          <t>S-ad26e3</t>
        </is>
      </c>
      <c r="B101" s="20" t="inlineStr">
        <is>
          <t>A-c37601</t>
        </is>
      </c>
      <c r="C101" s="20" t="inlineStr">
        <is>
          <t>Lenta (30+ dias)</t>
        </is>
      </c>
      <c r="D101" s="20" t="inlineStr">
        <is>
          <t>Dez/24</t>
        </is>
      </c>
      <c r="E101" s="20" t="inlineStr">
        <is>
          <t>Não</t>
        </is>
      </c>
      <c r="F101" s="21" t="n">
        <v>45600</v>
      </c>
      <c r="G101" s="21" t="n">
        <v>45635</v>
      </c>
      <c r="H101" s="20" t="n">
        <v>35</v>
      </c>
      <c r="I101" s="20" t="inlineStr">
        <is>
          <t>Pro</t>
        </is>
      </c>
      <c r="J101" s="20" t="inlineStr">
        <is>
          <t>Mensal</t>
        </is>
      </c>
      <c r="K101" s="20" t="n">
        <v>6</v>
      </c>
      <c r="L101" s="20" t="inlineStr">
        <is>
          <t>06–10</t>
        </is>
      </c>
      <c r="M101" s="20" t="inlineStr">
        <is>
          <t>US</t>
        </is>
      </c>
      <c r="N101" s="20" t="inlineStr">
        <is>
          <t>Redução</t>
        </is>
      </c>
      <c r="O101" s="20" t="inlineStr">
        <is>
          <t>Redução</t>
        </is>
      </c>
      <c r="P101" s="20" t="inlineStr">
        <is>
          <t>Troca/ajuste</t>
        </is>
      </c>
      <c r="Q101" s="20" t="n">
        <v>4</v>
      </c>
      <c r="R101" s="20" t="inlineStr"/>
      <c r="S101" s="20" t="inlineStr"/>
      <c r="T101" s="20" t="inlineStr"/>
      <c r="U101" s="20" t="inlineStr"/>
      <c r="V101" s="20" t="inlineStr"/>
      <c r="W101" s="20" t="inlineStr">
        <is>
          <t>Sim</t>
        </is>
      </c>
    </row>
    <row r="102">
      <c r="A102" s="20" t="inlineStr">
        <is>
          <t>S-93dc0e</t>
        </is>
      </c>
      <c r="B102" s="20" t="inlineStr">
        <is>
          <t>A-8e47ca</t>
        </is>
      </c>
      <c r="C102" s="20" t="inlineStr">
        <is>
          <t>Lenta (30+ dias)</t>
        </is>
      </c>
      <c r="D102" s="20" t="inlineStr">
        <is>
          <t>Dez/24</t>
        </is>
      </c>
      <c r="E102" s="20" t="inlineStr">
        <is>
          <t>Não</t>
        </is>
      </c>
      <c r="F102" s="21" t="n">
        <v>45599</v>
      </c>
      <c r="G102" s="21" t="n">
        <v>45635</v>
      </c>
      <c r="H102" s="20" t="n">
        <v>36</v>
      </c>
      <c r="I102" s="20" t="inlineStr">
        <is>
          <t>Enterprise</t>
        </is>
      </c>
      <c r="J102" s="20" t="inlineStr">
        <is>
          <t>Mensal</t>
        </is>
      </c>
      <c r="K102" s="20" t="n">
        <v>25</v>
      </c>
      <c r="L102" s="20" t="inlineStr">
        <is>
          <t>21–40</t>
        </is>
      </c>
      <c r="M102" s="20" t="inlineStr">
        <is>
          <t>US</t>
        </is>
      </c>
      <c r="N102" s="20" t="inlineStr">
        <is>
          <t>Redução</t>
        </is>
      </c>
      <c r="O102" s="20" t="inlineStr">
        <is>
          <t>Redução</t>
        </is>
      </c>
      <c r="P102" s="20" t="inlineStr">
        <is>
          <t>Redução</t>
        </is>
      </c>
      <c r="Q102" s="20" t="n">
        <v>8</v>
      </c>
      <c r="R102" s="20" t="inlineStr"/>
      <c r="S102" s="20" t="inlineStr"/>
      <c r="T102" s="20" t="inlineStr"/>
      <c r="U102" s="20" t="inlineStr"/>
      <c r="V102" s="20" t="inlineStr"/>
      <c r="W102" s="20" t="inlineStr">
        <is>
          <t>Sim</t>
        </is>
      </c>
    </row>
    <row r="103">
      <c r="A103" s="20" t="inlineStr">
        <is>
          <t>S-14f39f</t>
        </is>
      </c>
      <c r="B103" s="20" t="inlineStr">
        <is>
          <t>A-9affe6</t>
        </is>
      </c>
      <c r="C103" s="20" t="inlineStr">
        <is>
          <t>Lenta (30+ dias)</t>
        </is>
      </c>
      <c r="D103" s="20" t="inlineStr">
        <is>
          <t>Dez/24</t>
        </is>
      </c>
      <c r="E103" s="20" t="inlineStr">
        <is>
          <t>Não</t>
        </is>
      </c>
      <c r="F103" s="21" t="n">
        <v>45465</v>
      </c>
      <c r="G103" s="21" t="n">
        <v>45636</v>
      </c>
      <c r="H103" s="20" t="n">
        <v>171</v>
      </c>
      <c r="I103" s="20" t="inlineStr">
        <is>
          <t>Basic</t>
        </is>
      </c>
      <c r="J103" s="20" t="inlineStr">
        <is>
          <t>Mensal</t>
        </is>
      </c>
      <c r="K103" s="20" t="n">
        <v>19</v>
      </c>
      <c r="L103" s="20" t="inlineStr">
        <is>
          <t>11–20</t>
        </is>
      </c>
      <c r="M103" s="20" t="inlineStr">
        <is>
          <t>US</t>
        </is>
      </c>
      <c r="N103" s="20" t="inlineStr">
        <is>
          <t>Redução</t>
        </is>
      </c>
      <c r="O103" s="20" t="inlineStr">
        <is>
          <t>Redução</t>
        </is>
      </c>
      <c r="P103" s="20" t="inlineStr">
        <is>
          <t>Redução</t>
        </is>
      </c>
      <c r="Q103" s="20" t="n">
        <v>10</v>
      </c>
      <c r="R103" s="20" t="inlineStr"/>
      <c r="S103" s="20" t="inlineStr"/>
      <c r="T103" s="20" t="inlineStr"/>
      <c r="U103" s="20" t="inlineStr"/>
      <c r="V103" s="20" t="inlineStr"/>
      <c r="W103" s="20" t="inlineStr">
        <is>
          <t>Não</t>
        </is>
      </c>
    </row>
    <row r="104">
      <c r="A104" s="20" t="inlineStr">
        <is>
          <t>S-529f0c</t>
        </is>
      </c>
      <c r="B104" s="20" t="inlineStr">
        <is>
          <t>A-592832</t>
        </is>
      </c>
      <c r="C104" s="20" t="inlineStr">
        <is>
          <t>Rápida (&lt; 30 dias)</t>
        </is>
      </c>
      <c r="D104" s="20" t="inlineStr">
        <is>
          <t>Dez/24</t>
        </is>
      </c>
      <c r="E104" s="20" t="inlineStr">
        <is>
          <t>Não</t>
        </is>
      </c>
      <c r="F104" s="21" t="n">
        <v>45624</v>
      </c>
      <c r="G104" s="21" t="n">
        <v>45636</v>
      </c>
      <c r="H104" s="20" t="n">
        <v>12</v>
      </c>
      <c r="I104" s="20" t="inlineStr">
        <is>
          <t>Pro</t>
        </is>
      </c>
      <c r="J104" s="20" t="inlineStr">
        <is>
          <t>Mensal</t>
        </is>
      </c>
      <c r="K104" s="20" t="n">
        <v>18</v>
      </c>
      <c r="L104" s="20" t="inlineStr">
        <is>
          <t>11–20</t>
        </is>
      </c>
      <c r="M104" s="20" t="inlineStr">
        <is>
          <t>US</t>
        </is>
      </c>
      <c r="N104" s="20" t="inlineStr">
        <is>
          <t>Troca/ajuste</t>
        </is>
      </c>
      <c r="O104" s="20" t="inlineStr">
        <is>
          <t>Troca/ajuste</t>
        </is>
      </c>
      <c r="P104" s="20" t="inlineStr">
        <is>
          <t>Troca/ajuste</t>
        </is>
      </c>
      <c r="Q104" s="20" t="n">
        <v>11</v>
      </c>
      <c r="R104" s="20" t="inlineStr">
        <is>
          <t>S-a4d69d, S-8b1b5a</t>
        </is>
      </c>
      <c r="S104" s="20" t="inlineStr">
        <is>
          <t>S-a4d69d</t>
        </is>
      </c>
      <c r="T104" s="20" t="inlineStr">
        <is>
          <t>Plano abaixo</t>
        </is>
      </c>
      <c r="U104" s="20" t="inlineStr">
        <is>
          <t>Mesma cobrança</t>
        </is>
      </c>
      <c r="V104" s="20" t="inlineStr">
        <is>
          <t>Mesmos seats</t>
        </is>
      </c>
      <c r="W104" s="20" t="inlineStr">
        <is>
          <t>Não</t>
        </is>
      </c>
    </row>
    <row r="105">
      <c r="A105" s="20" t="inlineStr">
        <is>
          <t>S-f0081e</t>
        </is>
      </c>
      <c r="B105" s="20" t="inlineStr">
        <is>
          <t>A-b7ef83</t>
        </is>
      </c>
      <c r="C105" s="20" t="inlineStr">
        <is>
          <t>Rápida (&lt; 30 dias)</t>
        </is>
      </c>
      <c r="D105" s="20" t="inlineStr">
        <is>
          <t>Dez/24</t>
        </is>
      </c>
      <c r="E105" s="20" t="inlineStr">
        <is>
          <t>Não</t>
        </is>
      </c>
      <c r="F105" s="21" t="n">
        <v>45632</v>
      </c>
      <c r="G105" s="21" t="n">
        <v>45636</v>
      </c>
      <c r="H105" s="20" t="n">
        <v>4</v>
      </c>
      <c r="I105" s="20" t="inlineStr">
        <is>
          <t>Enterprise</t>
        </is>
      </c>
      <c r="J105" s="20" t="inlineStr">
        <is>
          <t>Mensal</t>
        </is>
      </c>
      <c r="K105" s="20" t="n">
        <v>45</v>
      </c>
      <c r="L105" s="20" t="inlineStr">
        <is>
          <t>41–80</t>
        </is>
      </c>
      <c r="M105" s="20" t="inlineStr">
        <is>
          <t>UK</t>
        </is>
      </c>
      <c r="N105" s="20" t="inlineStr">
        <is>
          <t>Redução</t>
        </is>
      </c>
      <c r="O105" s="20" t="inlineStr">
        <is>
          <t>Redução</t>
        </is>
      </c>
      <c r="P105" s="20" t="inlineStr">
        <is>
          <t>Redução</t>
        </is>
      </c>
      <c r="Q105" s="20" t="n">
        <v>13</v>
      </c>
      <c r="R105" s="20" t="inlineStr"/>
      <c r="S105" s="20" t="inlineStr"/>
      <c r="T105" s="20" t="inlineStr"/>
      <c r="U105" s="20" t="inlineStr"/>
      <c r="V105" s="20" t="inlineStr"/>
      <c r="W105" s="20" t="inlineStr">
        <is>
          <t>Não</t>
        </is>
      </c>
    </row>
    <row r="106">
      <c r="A106" s="20" t="inlineStr">
        <is>
          <t>S-e7f571</t>
        </is>
      </c>
      <c r="B106" s="20" t="inlineStr">
        <is>
          <t>A-9affe6</t>
        </is>
      </c>
      <c r="C106" s="20" t="inlineStr">
        <is>
          <t>Lenta (30+ dias)</t>
        </is>
      </c>
      <c r="D106" s="20" t="inlineStr">
        <is>
          <t>Dez/24</t>
        </is>
      </c>
      <c r="E106" s="20" t="inlineStr">
        <is>
          <t>Não</t>
        </is>
      </c>
      <c r="F106" s="21" t="n">
        <v>45083</v>
      </c>
      <c r="G106" s="21" t="n">
        <v>45637</v>
      </c>
      <c r="H106" s="20" t="n">
        <v>554</v>
      </c>
      <c r="I106" s="20" t="inlineStr">
        <is>
          <t>Basic</t>
        </is>
      </c>
      <c r="J106" s="20" t="inlineStr">
        <is>
          <t>Mensal</t>
        </is>
      </c>
      <c r="K106" s="20" t="n">
        <v>7</v>
      </c>
      <c r="L106" s="20" t="inlineStr">
        <is>
          <t>06–10</t>
        </is>
      </c>
      <c r="M106" s="20" t="inlineStr">
        <is>
          <t>US</t>
        </is>
      </c>
      <c r="N106" s="20" t="inlineStr">
        <is>
          <t>Redução</t>
        </is>
      </c>
      <c r="O106" s="20" t="inlineStr">
        <is>
          <t>Redução</t>
        </is>
      </c>
      <c r="P106" s="20" t="inlineStr">
        <is>
          <t>Redução</t>
        </is>
      </c>
      <c r="Q106" s="20" t="n">
        <v>9</v>
      </c>
      <c r="R106" s="20" t="inlineStr"/>
      <c r="S106" s="20" t="inlineStr"/>
      <c r="T106" s="20" t="inlineStr"/>
      <c r="U106" s="20" t="inlineStr"/>
      <c r="V106" s="20" t="inlineStr"/>
      <c r="W106" s="20" t="inlineStr">
        <is>
          <t>Não</t>
        </is>
      </c>
    </row>
    <row r="107">
      <c r="A107" s="20" t="inlineStr">
        <is>
          <t>S-debbee</t>
        </is>
      </c>
      <c r="B107" s="20" t="inlineStr">
        <is>
          <t>A-3a7284</t>
        </is>
      </c>
      <c r="C107" s="20" t="inlineStr">
        <is>
          <t>Rápida (&lt; 30 dias)</t>
        </is>
      </c>
      <c r="D107" s="20" t="inlineStr">
        <is>
          <t>Dez/24</t>
        </is>
      </c>
      <c r="E107" s="20" t="inlineStr">
        <is>
          <t>Não</t>
        </is>
      </c>
      <c r="F107" s="21" t="n">
        <v>45624</v>
      </c>
      <c r="G107" s="21" t="n">
        <v>45637</v>
      </c>
      <c r="H107" s="20" t="n">
        <v>13</v>
      </c>
      <c r="I107" s="20" t="inlineStr">
        <is>
          <t>Basic</t>
        </is>
      </c>
      <c r="J107" s="20" t="inlineStr">
        <is>
          <t>Anual</t>
        </is>
      </c>
      <c r="K107" s="20" t="n">
        <v>73</v>
      </c>
      <c r="L107" s="20" t="inlineStr">
        <is>
          <t>41–80</t>
        </is>
      </c>
      <c r="M107" s="20" t="inlineStr">
        <is>
          <t>US</t>
        </is>
      </c>
      <c r="N107" s="20" t="inlineStr">
        <is>
          <t>Troca/ajuste</t>
        </is>
      </c>
      <c r="O107" s="20" t="inlineStr">
        <is>
          <t>Troca/ajuste</t>
        </is>
      </c>
      <c r="P107" s="20" t="inlineStr">
        <is>
          <t>Troca/ajuste</t>
        </is>
      </c>
      <c r="Q107" s="20" t="n">
        <v>3</v>
      </c>
      <c r="R107" s="20" t="inlineStr">
        <is>
          <t>S-c9d323, S-4eef1a, S-235670, S-9a4589, S-02d6c8</t>
        </is>
      </c>
      <c r="S107" s="20" t="inlineStr">
        <is>
          <t>S-c9d323</t>
        </is>
      </c>
      <c r="T107" s="20" t="inlineStr">
        <is>
          <t>Plano acima</t>
        </is>
      </c>
      <c r="U107" s="20" t="inlineStr">
        <is>
          <t>Mudou para mensal</t>
        </is>
      </c>
      <c r="V107" s="20" t="inlineStr">
        <is>
          <t>Menos seats</t>
        </is>
      </c>
      <c r="W107" s="20" t="inlineStr">
        <is>
          <t>Sim</t>
        </is>
      </c>
    </row>
    <row r="108">
      <c r="A108" s="20" t="inlineStr">
        <is>
          <t>S-76eded</t>
        </is>
      </c>
      <c r="B108" s="20" t="inlineStr">
        <is>
          <t>A-ae052e</t>
        </is>
      </c>
      <c r="C108" s="20" t="inlineStr">
        <is>
          <t>Lenta (30+ dias)</t>
        </is>
      </c>
      <c r="D108" s="20" t="inlineStr">
        <is>
          <t>Dez/24</t>
        </is>
      </c>
      <c r="E108" s="20" t="inlineStr">
        <is>
          <t>Não</t>
        </is>
      </c>
      <c r="F108" s="21" t="n">
        <v>45589</v>
      </c>
      <c r="G108" s="21" t="n">
        <v>45637</v>
      </c>
      <c r="H108" s="20" t="n">
        <v>48</v>
      </c>
      <c r="I108" s="20" t="inlineStr">
        <is>
          <t>Pro</t>
        </is>
      </c>
      <c r="J108" s="20" t="inlineStr">
        <is>
          <t>Mensal</t>
        </is>
      </c>
      <c r="K108" s="20" t="n">
        <v>39</v>
      </c>
      <c r="L108" s="20" t="inlineStr">
        <is>
          <t>21–40</t>
        </is>
      </c>
      <c r="M108" s="20" t="inlineStr">
        <is>
          <t>CA</t>
        </is>
      </c>
      <c r="N108" s="20" t="inlineStr">
        <is>
          <t>Troca/ajuste</t>
        </is>
      </c>
      <c r="O108" s="20" t="inlineStr">
        <is>
          <t>Redução</t>
        </is>
      </c>
      <c r="P108" s="20" t="inlineStr">
        <is>
          <t>Troca/ajuste</t>
        </is>
      </c>
      <c r="Q108" s="20" t="n">
        <v>2</v>
      </c>
      <c r="R108" s="20" t="inlineStr">
        <is>
          <t>S-f4e174</t>
        </is>
      </c>
      <c r="S108" s="20" t="inlineStr">
        <is>
          <t>S-f4e174</t>
        </is>
      </c>
      <c r="T108" s="20" t="inlineStr">
        <is>
          <t>Plano abaixo</t>
        </is>
      </c>
      <c r="U108" s="20" t="inlineStr">
        <is>
          <t>Mudou para anual</t>
        </is>
      </c>
      <c r="V108" s="20" t="inlineStr">
        <is>
          <t>Mesmos seats</t>
        </is>
      </c>
      <c r="W108" s="20" t="inlineStr">
        <is>
          <t>Sim</t>
        </is>
      </c>
    </row>
    <row r="109">
      <c r="A109" s="20" t="inlineStr">
        <is>
          <t>S-b2d472</t>
        </is>
      </c>
      <c r="B109" s="20" t="inlineStr">
        <is>
          <t>A-bcf87c</t>
        </is>
      </c>
      <c r="C109" s="20" t="inlineStr">
        <is>
          <t>Lenta (30+ dias)</t>
        </is>
      </c>
      <c r="D109" s="20" t="inlineStr">
        <is>
          <t>Dez/24</t>
        </is>
      </c>
      <c r="E109" s="20" t="inlineStr">
        <is>
          <t>Não</t>
        </is>
      </c>
      <c r="F109" s="21" t="n">
        <v>45531</v>
      </c>
      <c r="G109" s="21" t="n">
        <v>45637</v>
      </c>
      <c r="H109" s="20" t="n">
        <v>106</v>
      </c>
      <c r="I109" s="20" t="inlineStr">
        <is>
          <t>Enterprise</t>
        </is>
      </c>
      <c r="J109" s="20" t="inlineStr">
        <is>
          <t>Anual</t>
        </is>
      </c>
      <c r="K109" s="20" t="n">
        <v>10</v>
      </c>
      <c r="L109" s="20" t="inlineStr">
        <is>
          <t>06–10</t>
        </is>
      </c>
      <c r="M109" s="20" t="inlineStr">
        <is>
          <t>US</t>
        </is>
      </c>
      <c r="N109" s="20" t="inlineStr">
        <is>
          <t>Troca/ajuste</t>
        </is>
      </c>
      <c r="O109" s="20" t="inlineStr">
        <is>
          <t>Troca/ajuste</t>
        </is>
      </c>
      <c r="P109" s="20" t="inlineStr">
        <is>
          <t>Troca/ajuste</t>
        </is>
      </c>
      <c r="Q109" s="20" t="n">
        <v>8</v>
      </c>
      <c r="R109" s="20" t="inlineStr">
        <is>
          <t>S-e260ff, S-c555c4, S-0e12c9</t>
        </is>
      </c>
      <c r="S109" s="20" t="inlineStr">
        <is>
          <t>S-0e12c9</t>
        </is>
      </c>
      <c r="T109" s="20" t="inlineStr">
        <is>
          <t>Plano abaixo</t>
        </is>
      </c>
      <c r="U109" s="20" t="inlineStr">
        <is>
          <t>Mudou para mensal</t>
        </is>
      </c>
      <c r="V109" s="20" t="inlineStr">
        <is>
          <t>Mais seats</t>
        </is>
      </c>
      <c r="W109" s="20" t="inlineStr">
        <is>
          <t>Não</t>
        </is>
      </c>
    </row>
    <row r="110">
      <c r="A110" s="20" t="inlineStr">
        <is>
          <t>S-afed2d</t>
        </is>
      </c>
      <c r="B110" s="20" t="inlineStr">
        <is>
          <t>A-726cfa</t>
        </is>
      </c>
      <c r="C110" s="20" t="inlineStr">
        <is>
          <t>Lenta (30+ dias)</t>
        </is>
      </c>
      <c r="D110" s="20" t="inlineStr">
        <is>
          <t>Dez/24</t>
        </is>
      </c>
      <c r="E110" s="20" t="inlineStr">
        <is>
          <t>Não</t>
        </is>
      </c>
      <c r="F110" s="21" t="n">
        <v>45442</v>
      </c>
      <c r="G110" s="21" t="n">
        <v>45638</v>
      </c>
      <c r="H110" s="20" t="n">
        <v>196</v>
      </c>
      <c r="I110" s="20" t="inlineStr">
        <is>
          <t>Pro</t>
        </is>
      </c>
      <c r="J110" s="20" t="inlineStr">
        <is>
          <t>Anual</t>
        </is>
      </c>
      <c r="K110" s="20" t="n">
        <v>11</v>
      </c>
      <c r="L110" s="20" t="inlineStr">
        <is>
          <t>11–20</t>
        </is>
      </c>
      <c r="M110" s="20" t="inlineStr">
        <is>
          <t>US</t>
        </is>
      </c>
      <c r="N110" s="20" t="inlineStr">
        <is>
          <t>Troca/ajuste</t>
        </is>
      </c>
      <c r="O110" s="20" t="inlineStr">
        <is>
          <t>Redução</t>
        </is>
      </c>
      <c r="P110" s="20" t="inlineStr">
        <is>
          <t>Troca/ajuste</t>
        </is>
      </c>
      <c r="Q110" s="20" t="n">
        <v>16</v>
      </c>
      <c r="R110" s="20" t="inlineStr">
        <is>
          <t>S-fa0d9e</t>
        </is>
      </c>
      <c r="S110" s="20" t="inlineStr">
        <is>
          <t>S-fa0d9e</t>
        </is>
      </c>
      <c r="T110" s="20" t="inlineStr">
        <is>
          <t>Plano acima</t>
        </is>
      </c>
      <c r="U110" s="20" t="inlineStr">
        <is>
          <t>Mudou para mensal</t>
        </is>
      </c>
      <c r="V110" s="20" t="inlineStr">
        <is>
          <t>Mais seats</t>
        </is>
      </c>
      <c r="W110" s="20" t="inlineStr">
        <is>
          <t>Não</t>
        </is>
      </c>
    </row>
    <row r="111">
      <c r="A111" s="20" t="inlineStr">
        <is>
          <t>S-17c51e</t>
        </is>
      </c>
      <c r="B111" s="20" t="inlineStr">
        <is>
          <t>A-462d45</t>
        </is>
      </c>
      <c r="C111" s="20" t="inlineStr">
        <is>
          <t>Rápida (&lt; 30 dias)</t>
        </is>
      </c>
      <c r="D111" s="20" t="inlineStr">
        <is>
          <t>Dez/24</t>
        </is>
      </c>
      <c r="E111" s="20" t="inlineStr">
        <is>
          <t>Não</t>
        </is>
      </c>
      <c r="F111" s="21" t="n">
        <v>45621</v>
      </c>
      <c r="G111" s="21" t="n">
        <v>45638</v>
      </c>
      <c r="H111" s="20" t="n">
        <v>17</v>
      </c>
      <c r="I111" s="20" t="inlineStr">
        <is>
          <t>Pro</t>
        </is>
      </c>
      <c r="J111" s="20" t="inlineStr">
        <is>
          <t>Anual</t>
        </is>
      </c>
      <c r="K111" s="20" t="n">
        <v>61</v>
      </c>
      <c r="L111" s="20" t="inlineStr">
        <is>
          <t>41–80</t>
        </is>
      </c>
      <c r="M111" s="20" t="inlineStr">
        <is>
          <t>US</t>
        </is>
      </c>
      <c r="N111" s="20" t="inlineStr">
        <is>
          <t>Troca/ajuste</t>
        </is>
      </c>
      <c r="O111" s="20" t="inlineStr">
        <is>
          <t>Troca/ajuste</t>
        </is>
      </c>
      <c r="P111" s="20" t="inlineStr">
        <is>
          <t>Troca/ajuste</t>
        </is>
      </c>
      <c r="Q111" s="20" t="n">
        <v>10</v>
      </c>
      <c r="R111" s="20" t="inlineStr">
        <is>
          <t>S-82c91a</t>
        </is>
      </c>
      <c r="S111" s="20" t="inlineStr">
        <is>
          <t>S-82c91a</t>
        </is>
      </c>
      <c r="T111" s="20" t="inlineStr">
        <is>
          <t>Mesmo plano</t>
        </is>
      </c>
      <c r="U111" s="20" t="inlineStr">
        <is>
          <t>Mesma cobrança</t>
        </is>
      </c>
      <c r="V111" s="20" t="inlineStr">
        <is>
          <t>Menos seats</t>
        </is>
      </c>
      <c r="W111" s="20" t="inlineStr">
        <is>
          <t>Não</t>
        </is>
      </c>
    </row>
    <row r="112">
      <c r="A112" s="20" t="inlineStr">
        <is>
          <t>S-33df6f</t>
        </is>
      </c>
      <c r="B112" s="20" t="inlineStr">
        <is>
          <t>A-0baac2</t>
        </is>
      </c>
      <c r="C112" s="20" t="inlineStr">
        <is>
          <t>Rápida (&lt; 30 dias)</t>
        </is>
      </c>
      <c r="D112" s="20" t="inlineStr">
        <is>
          <t>Dez/24</t>
        </is>
      </c>
      <c r="E112" s="20" t="inlineStr">
        <is>
          <t>Não</t>
        </is>
      </c>
      <c r="F112" s="21" t="n">
        <v>45637</v>
      </c>
      <c r="G112" s="21" t="n">
        <v>45638</v>
      </c>
      <c r="H112" s="20" t="n">
        <v>1</v>
      </c>
      <c r="I112" s="20" t="inlineStr">
        <is>
          <t>Enterprise</t>
        </is>
      </c>
      <c r="J112" s="20" t="inlineStr">
        <is>
          <t>Mensal</t>
        </is>
      </c>
      <c r="K112" s="20" t="n">
        <v>14</v>
      </c>
      <c r="L112" s="20" t="inlineStr">
        <is>
          <t>11–20</t>
        </is>
      </c>
      <c r="M112" s="20" t="inlineStr">
        <is>
          <t>DE</t>
        </is>
      </c>
      <c r="N112" s="20" t="inlineStr">
        <is>
          <t>Troca/ajuste</t>
        </is>
      </c>
      <c r="O112" s="20" t="inlineStr">
        <is>
          <t>Troca/ajuste</t>
        </is>
      </c>
      <c r="P112" s="20" t="inlineStr">
        <is>
          <t>Troca/ajuste</t>
        </is>
      </c>
      <c r="Q112" s="20" t="n">
        <v>4</v>
      </c>
      <c r="R112" s="20" t="inlineStr">
        <is>
          <t>S-e50d84, S-1fabe5</t>
        </is>
      </c>
      <c r="S112" s="20" t="inlineStr">
        <is>
          <t>S-e50d84</t>
        </is>
      </c>
      <c r="T112" s="20" t="inlineStr">
        <is>
          <t>Mesmo plano</t>
        </is>
      </c>
      <c r="U112" s="20" t="inlineStr">
        <is>
          <t>Mudou para anual</t>
        </is>
      </c>
      <c r="V112" s="20" t="inlineStr">
        <is>
          <t>Mesmos seats</t>
        </is>
      </c>
      <c r="W112" s="20" t="inlineStr">
        <is>
          <t>Sim</t>
        </is>
      </c>
    </row>
    <row r="113">
      <c r="A113" s="20" t="inlineStr">
        <is>
          <t>S-82a67a</t>
        </is>
      </c>
      <c r="B113" s="20" t="inlineStr">
        <is>
          <t>A-712426</t>
        </is>
      </c>
      <c r="C113" s="20" t="inlineStr">
        <is>
          <t>Rápida (&lt; 30 dias)</t>
        </is>
      </c>
      <c r="D113" s="20" t="inlineStr">
        <is>
          <t>Dez/24</t>
        </is>
      </c>
      <c r="E113" s="20" t="inlineStr">
        <is>
          <t>Não</t>
        </is>
      </c>
      <c r="F113" s="21" t="n">
        <v>45637</v>
      </c>
      <c r="G113" s="21" t="n">
        <v>45639</v>
      </c>
      <c r="H113" s="20" t="n">
        <v>2</v>
      </c>
      <c r="I113" s="20" t="inlineStr">
        <is>
          <t>Pro</t>
        </is>
      </c>
      <c r="J113" s="20" t="inlineStr">
        <is>
          <t>Anual</t>
        </is>
      </c>
      <c r="K113" s="20" t="n">
        <v>15</v>
      </c>
      <c r="L113" s="20" t="inlineStr">
        <is>
          <t>11–20</t>
        </is>
      </c>
      <c r="M113" s="20" t="inlineStr">
        <is>
          <t>US</t>
        </is>
      </c>
      <c r="N113" s="20" t="inlineStr">
        <is>
          <t>Troca/ajuste</t>
        </is>
      </c>
      <c r="O113" s="20" t="inlineStr">
        <is>
          <t>Troca/ajuste</t>
        </is>
      </c>
      <c r="P113" s="20" t="inlineStr">
        <is>
          <t>Troca/ajuste</t>
        </is>
      </c>
      <c r="Q113" s="20" t="n">
        <v>8</v>
      </c>
      <c r="R113" s="20" t="inlineStr">
        <is>
          <t>S-9b623b, S-0c42bc, S-6ea0ad, S-c53808, S-a3129d, S-9fa60e, S-a0e1dc</t>
        </is>
      </c>
      <c r="S113" s="20" t="inlineStr">
        <is>
          <t>S-6ea0ad</t>
        </is>
      </c>
      <c r="T113" s="20" t="inlineStr">
        <is>
          <t>Mesmo plano</t>
        </is>
      </c>
      <c r="U113" s="20" t="inlineStr">
        <is>
          <t>Mudou para mensal</t>
        </is>
      </c>
      <c r="V113" s="20" t="inlineStr">
        <is>
          <t>Menos seats</t>
        </is>
      </c>
      <c r="W113" s="20" t="inlineStr">
        <is>
          <t>Sim</t>
        </is>
      </c>
    </row>
    <row r="114">
      <c r="A114" s="20" t="inlineStr">
        <is>
          <t>S-f4a4c8</t>
        </is>
      </c>
      <c r="B114" s="20" t="inlineStr">
        <is>
          <t>A-c37cab</t>
        </is>
      </c>
      <c r="C114" s="20" t="inlineStr">
        <is>
          <t>Lenta (30+ dias)</t>
        </is>
      </c>
      <c r="D114" s="20" t="inlineStr">
        <is>
          <t>Dez/24</t>
        </is>
      </c>
      <c r="E114" s="20" t="inlineStr">
        <is>
          <t>Não</t>
        </is>
      </c>
      <c r="F114" s="21" t="n">
        <v>45570</v>
      </c>
      <c r="G114" s="21" t="n">
        <v>45639</v>
      </c>
      <c r="H114" s="20" t="n">
        <v>69</v>
      </c>
      <c r="I114" s="20" t="inlineStr">
        <is>
          <t>Enterprise</t>
        </is>
      </c>
      <c r="J114" s="20" t="inlineStr">
        <is>
          <t>Mensal</t>
        </is>
      </c>
      <c r="K114" s="20" t="n">
        <v>98</v>
      </c>
      <c r="L114" s="20" t="inlineStr">
        <is>
          <t>81 ou mais</t>
        </is>
      </c>
      <c r="M114" s="20" t="inlineStr">
        <is>
          <t>UK</t>
        </is>
      </c>
      <c r="N114" s="20" t="inlineStr">
        <is>
          <t>Troca/ajuste</t>
        </is>
      </c>
      <c r="O114" s="20" t="inlineStr">
        <is>
          <t>Troca/ajuste</t>
        </is>
      </c>
      <c r="P114" s="20" t="inlineStr">
        <is>
          <t>Troca/ajuste</t>
        </is>
      </c>
      <c r="Q114" s="20" t="n">
        <v>9</v>
      </c>
      <c r="R114" s="20" t="inlineStr">
        <is>
          <t>S-1e8c9e, S-cb853a</t>
        </is>
      </c>
      <c r="S114" s="20" t="inlineStr">
        <is>
          <t>S-1e8c9e</t>
        </is>
      </c>
      <c r="T114" s="20" t="inlineStr">
        <is>
          <t>Plano abaixo</t>
        </is>
      </c>
      <c r="U114" s="20" t="inlineStr">
        <is>
          <t>Mesma cobrança</t>
        </is>
      </c>
      <c r="V114" s="20" t="inlineStr">
        <is>
          <t>Menos seats</t>
        </is>
      </c>
      <c r="W114" s="20" t="inlineStr">
        <is>
          <t>Sim</t>
        </is>
      </c>
    </row>
    <row r="115">
      <c r="A115" s="20" t="inlineStr">
        <is>
          <t>S-44046d</t>
        </is>
      </c>
      <c r="B115" s="20" t="inlineStr">
        <is>
          <t>A-5a184f</t>
        </is>
      </c>
      <c r="C115" s="20" t="inlineStr">
        <is>
          <t>Lenta (30+ dias)</t>
        </is>
      </c>
      <c r="D115" s="20" t="inlineStr">
        <is>
          <t>Dez/24</t>
        </is>
      </c>
      <c r="E115" s="20" t="inlineStr">
        <is>
          <t>Não</t>
        </is>
      </c>
      <c r="F115" s="21" t="n">
        <v>45602</v>
      </c>
      <c r="G115" s="21" t="n">
        <v>45639</v>
      </c>
      <c r="H115" s="20" t="n">
        <v>37</v>
      </c>
      <c r="I115" s="20" t="inlineStr">
        <is>
          <t>Basic</t>
        </is>
      </c>
      <c r="J115" s="20" t="inlineStr">
        <is>
          <t>Anual</t>
        </is>
      </c>
      <c r="K115" s="20" t="n">
        <v>36</v>
      </c>
      <c r="L115" s="20" t="inlineStr">
        <is>
          <t>21–40</t>
        </is>
      </c>
      <c r="M115" s="20" t="inlineStr">
        <is>
          <t>DE</t>
        </is>
      </c>
      <c r="N115" s="20" t="inlineStr">
        <is>
          <t>Redução</t>
        </is>
      </c>
      <c r="O115" s="20" t="inlineStr">
        <is>
          <t>Redução</t>
        </is>
      </c>
      <c r="P115" s="20" t="inlineStr">
        <is>
          <t>Redução</t>
        </is>
      </c>
      <c r="Q115" s="20" t="n">
        <v>9</v>
      </c>
      <c r="R115" s="20" t="inlineStr"/>
      <c r="S115" s="20" t="inlineStr"/>
      <c r="T115" s="20" t="inlineStr"/>
      <c r="U115" s="20" t="inlineStr"/>
      <c r="V115" s="20" t="inlineStr"/>
      <c r="W115" s="20" t="inlineStr">
        <is>
          <t>Não</t>
        </is>
      </c>
    </row>
    <row r="116">
      <c r="A116" s="20" t="inlineStr">
        <is>
          <t>S-f81687</t>
        </is>
      </c>
      <c r="B116" s="20" t="inlineStr">
        <is>
          <t>A-e7a1e2</t>
        </is>
      </c>
      <c r="C116" s="20" t="inlineStr">
        <is>
          <t>Rápida (&lt; 30 dias)</t>
        </is>
      </c>
      <c r="D116" s="20" t="inlineStr">
        <is>
          <t>Dez/24</t>
        </is>
      </c>
      <c r="E116" s="20" t="inlineStr">
        <is>
          <t>Não</t>
        </is>
      </c>
      <c r="F116" s="21" t="n">
        <v>45619</v>
      </c>
      <c r="G116" s="21" t="n">
        <v>45639</v>
      </c>
      <c r="H116" s="20" t="n">
        <v>20</v>
      </c>
      <c r="I116" s="20" t="inlineStr">
        <is>
          <t>Enterprise</t>
        </is>
      </c>
      <c r="J116" s="20" t="inlineStr">
        <is>
          <t>Mensal</t>
        </is>
      </c>
      <c r="K116" s="20" t="n">
        <v>5</v>
      </c>
      <c r="L116" s="20" t="inlineStr">
        <is>
          <t>01–05</t>
        </is>
      </c>
      <c r="M116" s="20" t="inlineStr">
        <is>
          <t>US</t>
        </is>
      </c>
      <c r="N116" s="20" t="inlineStr">
        <is>
          <t>Redução</t>
        </is>
      </c>
      <c r="O116" s="20" t="inlineStr">
        <is>
          <t>Redução</t>
        </is>
      </c>
      <c r="P116" s="20" t="inlineStr">
        <is>
          <t>Troca/ajuste</t>
        </is>
      </c>
      <c r="Q116" s="20" t="n">
        <v>9</v>
      </c>
      <c r="R116" s="20" t="inlineStr"/>
      <c r="S116" s="20" t="inlineStr"/>
      <c r="T116" s="20" t="inlineStr"/>
      <c r="U116" s="20" t="inlineStr"/>
      <c r="V116" s="20" t="inlineStr"/>
      <c r="W116" s="20" t="inlineStr">
        <is>
          <t>Sim</t>
        </is>
      </c>
    </row>
    <row r="117">
      <c r="A117" s="20" t="inlineStr">
        <is>
          <t>S-653165</t>
        </is>
      </c>
      <c r="B117" s="20" t="inlineStr">
        <is>
          <t>A-ac85cd</t>
        </is>
      </c>
      <c r="C117" s="20" t="inlineStr">
        <is>
          <t>Lenta (30+ dias)</t>
        </is>
      </c>
      <c r="D117" s="20" t="inlineStr">
        <is>
          <t>Dez/24</t>
        </is>
      </c>
      <c r="E117" s="20" t="inlineStr">
        <is>
          <t>Não</t>
        </is>
      </c>
      <c r="F117" s="21" t="n">
        <v>45561</v>
      </c>
      <c r="G117" s="21" t="n">
        <v>45639</v>
      </c>
      <c r="H117" s="20" t="n">
        <v>78</v>
      </c>
      <c r="I117" s="20" t="inlineStr">
        <is>
          <t>Basic</t>
        </is>
      </c>
      <c r="J117" s="20" t="inlineStr">
        <is>
          <t>Anual</t>
        </is>
      </c>
      <c r="K117" s="20" t="n">
        <v>53</v>
      </c>
      <c r="L117" s="20" t="inlineStr">
        <is>
          <t>41–80</t>
        </is>
      </c>
      <c r="M117" s="20" t="inlineStr">
        <is>
          <t>US</t>
        </is>
      </c>
      <c r="N117" s="20" t="inlineStr">
        <is>
          <t>Troca/ajuste</t>
        </is>
      </c>
      <c r="O117" s="20" t="inlineStr">
        <is>
          <t>Redução</t>
        </is>
      </c>
      <c r="P117" s="20" t="inlineStr">
        <is>
          <t>Troca/ajuste</t>
        </is>
      </c>
      <c r="Q117" s="20" t="n">
        <v>8</v>
      </c>
      <c r="R117" s="20" t="inlineStr">
        <is>
          <t>S-9d727d</t>
        </is>
      </c>
      <c r="S117" s="20" t="inlineStr">
        <is>
          <t>S-9d727d</t>
        </is>
      </c>
      <c r="T117" s="20" t="inlineStr">
        <is>
          <t>Mesmo plano</t>
        </is>
      </c>
      <c r="U117" s="20" t="inlineStr">
        <is>
          <t>Mudou para mensal</t>
        </is>
      </c>
      <c r="V117" s="20" t="inlineStr">
        <is>
          <t>Mesmos seats</t>
        </is>
      </c>
      <c r="W117" s="20" t="inlineStr">
        <is>
          <t>Sim</t>
        </is>
      </c>
    </row>
    <row r="118">
      <c r="A118" s="20" t="inlineStr">
        <is>
          <t>S-c92099</t>
        </is>
      </c>
      <c r="B118" s="20" t="inlineStr">
        <is>
          <t>A-7f4db3</t>
        </is>
      </c>
      <c r="C118" s="20" t="inlineStr">
        <is>
          <t>Rápida (&lt; 30 dias)</t>
        </is>
      </c>
      <c r="D118" s="20" t="inlineStr">
        <is>
          <t>Dez/24</t>
        </is>
      </c>
      <c r="E118" s="20" t="inlineStr">
        <is>
          <t>Não</t>
        </is>
      </c>
      <c r="F118" s="21" t="n">
        <v>45634</v>
      </c>
      <c r="G118" s="21" t="n">
        <v>45640</v>
      </c>
      <c r="H118" s="20" t="n">
        <v>6</v>
      </c>
      <c r="I118" s="20" t="inlineStr">
        <is>
          <t>Enterprise</t>
        </is>
      </c>
      <c r="J118" s="20" t="inlineStr">
        <is>
          <t>Anual</t>
        </is>
      </c>
      <c r="K118" s="20" t="n">
        <v>24</v>
      </c>
      <c r="L118" s="20" t="inlineStr">
        <is>
          <t>21–40</t>
        </is>
      </c>
      <c r="M118" s="20" t="inlineStr">
        <is>
          <t>US</t>
        </is>
      </c>
      <c r="N118" s="20" t="inlineStr">
        <is>
          <t>Redução</t>
        </is>
      </c>
      <c r="O118" s="20" t="inlineStr">
        <is>
          <t>Redução</t>
        </is>
      </c>
      <c r="P118" s="20" t="inlineStr">
        <is>
          <t>Redução</t>
        </is>
      </c>
      <c r="Q118" s="20" t="n">
        <v>12</v>
      </c>
      <c r="R118" s="20" t="inlineStr"/>
      <c r="S118" s="20" t="inlineStr"/>
      <c r="T118" s="20" t="inlineStr"/>
      <c r="U118" s="20" t="inlineStr"/>
      <c r="V118" s="20" t="inlineStr"/>
      <c r="W118" s="20" t="inlineStr">
        <is>
          <t>Não</t>
        </is>
      </c>
    </row>
    <row r="119">
      <c r="A119" s="20" t="inlineStr">
        <is>
          <t>S-b3071c</t>
        </is>
      </c>
      <c r="B119" s="20" t="inlineStr">
        <is>
          <t>A-cab532</t>
        </is>
      </c>
      <c r="C119" s="20" t="inlineStr">
        <is>
          <t>Lenta (30+ dias)</t>
        </is>
      </c>
      <c r="D119" s="20" t="inlineStr">
        <is>
          <t>Dez/24</t>
        </is>
      </c>
      <c r="E119" s="20" t="inlineStr">
        <is>
          <t>Não</t>
        </is>
      </c>
      <c r="F119" s="21" t="n">
        <v>45233</v>
      </c>
      <c r="G119" s="21" t="n">
        <v>45640</v>
      </c>
      <c r="H119" s="20" t="n">
        <v>407</v>
      </c>
      <c r="I119" s="20" t="inlineStr">
        <is>
          <t>Pro</t>
        </is>
      </c>
      <c r="J119" s="20" t="inlineStr">
        <is>
          <t>Mensal</t>
        </is>
      </c>
      <c r="K119" s="20" t="n">
        <v>31</v>
      </c>
      <c r="L119" s="20" t="inlineStr">
        <is>
          <t>21–40</t>
        </is>
      </c>
      <c r="M119" s="20" t="inlineStr">
        <is>
          <t>FR</t>
        </is>
      </c>
      <c r="N119" s="20" t="inlineStr">
        <is>
          <t>Troca/ajuste</t>
        </is>
      </c>
      <c r="O119" s="20" t="inlineStr">
        <is>
          <t>Troca/ajuste</t>
        </is>
      </c>
      <c r="P119" s="20" t="inlineStr">
        <is>
          <t>Troca/ajuste</t>
        </is>
      </c>
      <c r="Q119" s="20" t="n">
        <v>13</v>
      </c>
      <c r="R119" s="20" t="inlineStr">
        <is>
          <t>S-88cb91</t>
        </is>
      </c>
      <c r="S119" s="20" t="inlineStr">
        <is>
          <t>S-88cb91</t>
        </is>
      </c>
      <c r="T119" s="20" t="inlineStr">
        <is>
          <t>Mesmo plano</t>
        </is>
      </c>
      <c r="U119" s="20" t="inlineStr">
        <is>
          <t>Mudou para anual</t>
        </is>
      </c>
      <c r="V119" s="20" t="inlineStr">
        <is>
          <t>Mais seats</t>
        </is>
      </c>
      <c r="W119" s="20" t="inlineStr">
        <is>
          <t>Não</t>
        </is>
      </c>
    </row>
    <row r="120">
      <c r="A120" s="20" t="inlineStr">
        <is>
          <t>S-8bfab5</t>
        </is>
      </c>
      <c r="B120" s="20" t="inlineStr">
        <is>
          <t>A-af0cd2</t>
        </is>
      </c>
      <c r="C120" s="20" t="inlineStr">
        <is>
          <t>Lenta (30+ dias)</t>
        </is>
      </c>
      <c r="D120" s="20" t="inlineStr">
        <is>
          <t>Dez/24</t>
        </is>
      </c>
      <c r="E120" s="20" t="inlineStr">
        <is>
          <t>Não</t>
        </is>
      </c>
      <c r="F120" s="21" t="n">
        <v>45442</v>
      </c>
      <c r="G120" s="21" t="n">
        <v>45640</v>
      </c>
      <c r="H120" s="20" t="n">
        <v>198</v>
      </c>
      <c r="I120" s="20" t="inlineStr">
        <is>
          <t>Pro</t>
        </is>
      </c>
      <c r="J120" s="20" t="inlineStr">
        <is>
          <t>Mensal</t>
        </is>
      </c>
      <c r="K120" s="20" t="n">
        <v>19</v>
      </c>
      <c r="L120" s="20" t="inlineStr">
        <is>
          <t>11–20</t>
        </is>
      </c>
      <c r="M120" s="20" t="inlineStr">
        <is>
          <t>IN</t>
        </is>
      </c>
      <c r="N120" s="20" t="inlineStr">
        <is>
          <t>Redução</t>
        </is>
      </c>
      <c r="O120" s="20" t="inlineStr">
        <is>
          <t>Redução</t>
        </is>
      </c>
      <c r="P120" s="20" t="inlineStr">
        <is>
          <t>Redução</t>
        </is>
      </c>
      <c r="Q120" s="20" t="n">
        <v>9</v>
      </c>
      <c r="R120" s="20" t="inlineStr"/>
      <c r="S120" s="20" t="inlineStr"/>
      <c r="T120" s="20" t="inlineStr"/>
      <c r="U120" s="20" t="inlineStr"/>
      <c r="V120" s="20" t="inlineStr"/>
      <c r="W120" s="20" t="inlineStr">
        <is>
          <t>Não</t>
        </is>
      </c>
    </row>
    <row r="121">
      <c r="A121" s="20" t="inlineStr">
        <is>
          <t>S-61e53d</t>
        </is>
      </c>
      <c r="B121" s="20" t="inlineStr">
        <is>
          <t>A-d42431</t>
        </is>
      </c>
      <c r="C121" s="20" t="inlineStr">
        <is>
          <t>Rápida (&lt; 30 dias)</t>
        </is>
      </c>
      <c r="D121" s="20" t="inlineStr">
        <is>
          <t>Dez/24</t>
        </is>
      </c>
      <c r="E121" s="20" t="inlineStr">
        <is>
          <t>Não</t>
        </is>
      </c>
      <c r="F121" s="21" t="n">
        <v>45611</v>
      </c>
      <c r="G121" s="21" t="n">
        <v>45640</v>
      </c>
      <c r="H121" s="20" t="n">
        <v>29</v>
      </c>
      <c r="I121" s="20" t="inlineStr">
        <is>
          <t>Basic</t>
        </is>
      </c>
      <c r="J121" s="20" t="inlineStr">
        <is>
          <t>Anual</t>
        </is>
      </c>
      <c r="K121" s="20" t="n">
        <v>22</v>
      </c>
      <c r="L121" s="20" t="inlineStr">
        <is>
          <t>21–40</t>
        </is>
      </c>
      <c r="M121" s="20" t="inlineStr">
        <is>
          <t>FR</t>
        </is>
      </c>
      <c r="N121" s="20" t="inlineStr">
        <is>
          <t>Troca/ajuste</t>
        </is>
      </c>
      <c r="O121" s="20" t="inlineStr">
        <is>
          <t>Redução</t>
        </is>
      </c>
      <c r="P121" s="20" t="inlineStr">
        <is>
          <t>Troca/ajuste</t>
        </is>
      </c>
      <c r="Q121" s="20" t="n">
        <v>8</v>
      </c>
      <c r="R121" s="20" t="inlineStr">
        <is>
          <t>S-48ce17</t>
        </is>
      </c>
      <c r="S121" s="20" t="inlineStr">
        <is>
          <t>S-48ce17</t>
        </is>
      </c>
      <c r="T121" s="20" t="inlineStr">
        <is>
          <t>Plano acima</t>
        </is>
      </c>
      <c r="U121" s="20" t="inlineStr">
        <is>
          <t>Mesma cobrança</t>
        </is>
      </c>
      <c r="V121" s="20" t="inlineStr">
        <is>
          <t>Mesmos seats</t>
        </is>
      </c>
      <c r="W121" s="20" t="inlineStr">
        <is>
          <t>Não</t>
        </is>
      </c>
    </row>
    <row r="122">
      <c r="A122" s="20" t="inlineStr">
        <is>
          <t>S-3e0991</t>
        </is>
      </c>
      <c r="B122" s="20" t="inlineStr">
        <is>
          <t>A-9174e0</t>
        </is>
      </c>
      <c r="C122" s="20" t="inlineStr">
        <is>
          <t>Rápida (&lt; 30 dias)</t>
        </is>
      </c>
      <c r="D122" s="20" t="inlineStr">
        <is>
          <t>Dez/24</t>
        </is>
      </c>
      <c r="E122" s="20" t="inlineStr">
        <is>
          <t>Não</t>
        </is>
      </c>
      <c r="F122" s="21" t="n">
        <v>45633</v>
      </c>
      <c r="G122" s="21" t="n">
        <v>45640</v>
      </c>
      <c r="H122" s="20" t="n">
        <v>7</v>
      </c>
      <c r="I122" s="20" t="inlineStr">
        <is>
          <t>Enterprise</t>
        </is>
      </c>
      <c r="J122" s="20" t="inlineStr">
        <is>
          <t>Mensal</t>
        </is>
      </c>
      <c r="K122" s="20" t="n">
        <v>37</v>
      </c>
      <c r="L122" s="20" t="inlineStr">
        <is>
          <t>21–40</t>
        </is>
      </c>
      <c r="M122" s="20" t="inlineStr">
        <is>
          <t>US</t>
        </is>
      </c>
      <c r="N122" s="20" t="inlineStr">
        <is>
          <t>Troca/ajuste</t>
        </is>
      </c>
      <c r="O122" s="20" t="inlineStr">
        <is>
          <t>Troca/ajuste</t>
        </is>
      </c>
      <c r="P122" s="20" t="inlineStr">
        <is>
          <t>Troca/ajuste</t>
        </is>
      </c>
      <c r="Q122" s="20" t="n">
        <v>5</v>
      </c>
      <c r="R122" s="20" t="inlineStr">
        <is>
          <t>S-ca454e, S-da164e, S-5f3359, S-a1874c, S-089fa7, S-526a2c, S-b7c825, S-c37ee1, S-e6029e</t>
        </is>
      </c>
      <c r="S122" s="20" t="inlineStr">
        <is>
          <t>S-ca454e</t>
        </is>
      </c>
      <c r="T122" s="20" t="inlineStr">
        <is>
          <t>Mesmo plano</t>
        </is>
      </c>
      <c r="U122" s="20" t="inlineStr">
        <is>
          <t>Mesma cobrança</t>
        </is>
      </c>
      <c r="V122" s="20" t="inlineStr">
        <is>
          <t>Mesmos seats</t>
        </is>
      </c>
      <c r="W122" s="20" t="inlineStr">
        <is>
          <t>Não</t>
        </is>
      </c>
    </row>
    <row r="123">
      <c r="A123" s="20" t="inlineStr">
        <is>
          <t>S-1d5f4e</t>
        </is>
      </c>
      <c r="B123" s="20" t="inlineStr">
        <is>
          <t>A-ab438f</t>
        </is>
      </c>
      <c r="C123" s="20" t="inlineStr">
        <is>
          <t>Rápida (&lt; 30 dias)</t>
        </is>
      </c>
      <c r="D123" s="20" t="inlineStr">
        <is>
          <t>Dez/24</t>
        </is>
      </c>
      <c r="E123" s="20" t="inlineStr">
        <is>
          <t>Não</t>
        </is>
      </c>
      <c r="F123" s="21" t="n">
        <v>45637</v>
      </c>
      <c r="G123" s="21" t="n">
        <v>45641</v>
      </c>
      <c r="H123" s="20" t="n">
        <v>4</v>
      </c>
      <c r="I123" s="20" t="inlineStr">
        <is>
          <t>Pro</t>
        </is>
      </c>
      <c r="J123" s="20" t="inlineStr">
        <is>
          <t>Mensal</t>
        </is>
      </c>
      <c r="K123" s="20" t="n">
        <v>13</v>
      </c>
      <c r="L123" s="20" t="inlineStr">
        <is>
          <t>11–20</t>
        </is>
      </c>
      <c r="M123" s="20" t="inlineStr">
        <is>
          <t>US</t>
        </is>
      </c>
      <c r="N123" s="20" t="inlineStr">
        <is>
          <t>Redução</t>
        </is>
      </c>
      <c r="O123" s="20" t="inlineStr">
        <is>
          <t>Redução</t>
        </is>
      </c>
      <c r="P123" s="20" t="inlineStr">
        <is>
          <t>Troca/ajuste</t>
        </is>
      </c>
      <c r="Q123" s="20" t="n">
        <v>6</v>
      </c>
      <c r="R123" s="20" t="inlineStr"/>
      <c r="S123" s="20" t="inlineStr"/>
      <c r="T123" s="20" t="inlineStr"/>
      <c r="U123" s="20" t="inlineStr"/>
      <c r="V123" s="20" t="inlineStr"/>
      <c r="W123" s="20" t="inlineStr">
        <is>
          <t>Sim</t>
        </is>
      </c>
    </row>
    <row r="124">
      <c r="A124" s="20" t="inlineStr">
        <is>
          <t>S-f15008</t>
        </is>
      </c>
      <c r="B124" s="20" t="inlineStr">
        <is>
          <t>A-0aaf6e</t>
        </is>
      </c>
      <c r="C124" s="20" t="inlineStr">
        <is>
          <t>Rápida (&lt; 30 dias)</t>
        </is>
      </c>
      <c r="D124" s="20" t="inlineStr">
        <is>
          <t>Dez/24</t>
        </is>
      </c>
      <c r="E124" s="20" t="inlineStr">
        <is>
          <t>Não</t>
        </is>
      </c>
      <c r="F124" s="21" t="n">
        <v>45633</v>
      </c>
      <c r="G124" s="21" t="n">
        <v>45641</v>
      </c>
      <c r="H124" s="20" t="n">
        <v>8</v>
      </c>
      <c r="I124" s="20" t="inlineStr">
        <is>
          <t>Pro</t>
        </is>
      </c>
      <c r="J124" s="20" t="inlineStr">
        <is>
          <t>Anual</t>
        </is>
      </c>
      <c r="K124" s="20" t="n">
        <v>12</v>
      </c>
      <c r="L124" s="20" t="inlineStr">
        <is>
          <t>11–20</t>
        </is>
      </c>
      <c r="M124" s="20" t="inlineStr">
        <is>
          <t>US</t>
        </is>
      </c>
      <c r="N124" s="20" t="inlineStr">
        <is>
          <t>Redução</t>
        </is>
      </c>
      <c r="O124" s="20" t="inlineStr">
        <is>
          <t>Redução</t>
        </is>
      </c>
      <c r="P124" s="20" t="inlineStr">
        <is>
          <t>Troca/ajuste</t>
        </is>
      </c>
      <c r="Q124" s="20" t="n">
        <v>6</v>
      </c>
      <c r="R124" s="20" t="inlineStr"/>
      <c r="S124" s="20" t="inlineStr"/>
      <c r="T124" s="20" t="inlineStr"/>
      <c r="U124" s="20" t="inlineStr"/>
      <c r="V124" s="20" t="inlineStr"/>
      <c r="W124" s="20" t="inlineStr">
        <is>
          <t>Não</t>
        </is>
      </c>
    </row>
    <row r="125">
      <c r="A125" s="20" t="inlineStr">
        <is>
          <t>S-f6edd4</t>
        </is>
      </c>
      <c r="B125" s="20" t="inlineStr">
        <is>
          <t>A-5a92e7</t>
        </is>
      </c>
      <c r="C125" s="20" t="inlineStr">
        <is>
          <t>Rápida (&lt; 30 dias)</t>
        </is>
      </c>
      <c r="D125" s="20" t="inlineStr">
        <is>
          <t>Dez/24</t>
        </is>
      </c>
      <c r="E125" s="20" t="inlineStr">
        <is>
          <t>Não</t>
        </is>
      </c>
      <c r="F125" s="21" t="n">
        <v>45630</v>
      </c>
      <c r="G125" s="21" t="n">
        <v>45641</v>
      </c>
      <c r="H125" s="20" t="n">
        <v>11</v>
      </c>
      <c r="I125" s="20" t="inlineStr">
        <is>
          <t>Basic</t>
        </is>
      </c>
      <c r="J125" s="20" t="inlineStr">
        <is>
          <t>Anual</t>
        </is>
      </c>
      <c r="K125" s="20" t="n">
        <v>11</v>
      </c>
      <c r="L125" s="20" t="inlineStr">
        <is>
          <t>11–20</t>
        </is>
      </c>
      <c r="M125" s="20" t="inlineStr">
        <is>
          <t>US</t>
        </is>
      </c>
      <c r="N125" s="20" t="inlineStr">
        <is>
          <t>Troca/ajuste</t>
        </is>
      </c>
      <c r="O125" s="20" t="inlineStr">
        <is>
          <t>Troca/ajuste</t>
        </is>
      </c>
      <c r="P125" s="20" t="inlineStr">
        <is>
          <t>Troca/ajuste</t>
        </is>
      </c>
      <c r="Q125" s="20" t="n">
        <v>16</v>
      </c>
      <c r="R125" s="20" t="inlineStr">
        <is>
          <t>S-1c643d, S-51673a</t>
        </is>
      </c>
      <c r="S125" s="20" t="inlineStr">
        <is>
          <t>S-51673a</t>
        </is>
      </c>
      <c r="T125" s="20" t="inlineStr">
        <is>
          <t>Plano acima</t>
        </is>
      </c>
      <c r="U125" s="20" t="inlineStr">
        <is>
          <t>Mudou para mensal</t>
        </is>
      </c>
      <c r="V125" s="20" t="inlineStr">
        <is>
          <t>Menos seats</t>
        </is>
      </c>
      <c r="W125" s="20" t="inlineStr">
        <is>
          <t>Sim</t>
        </is>
      </c>
    </row>
    <row r="126">
      <c r="A126" s="20" t="inlineStr">
        <is>
          <t>S-6a0399</t>
        </is>
      </c>
      <c r="B126" s="20" t="inlineStr">
        <is>
          <t>A-df1e44</t>
        </is>
      </c>
      <c r="C126" s="20" t="inlineStr">
        <is>
          <t>Lenta (30+ dias)</t>
        </is>
      </c>
      <c r="D126" s="20" t="inlineStr">
        <is>
          <t>Dez/24</t>
        </is>
      </c>
      <c r="E126" s="20" t="inlineStr">
        <is>
          <t>Não</t>
        </is>
      </c>
      <c r="F126" s="21" t="n">
        <v>45543</v>
      </c>
      <c r="G126" s="21" t="n">
        <v>45641</v>
      </c>
      <c r="H126" s="20" t="n">
        <v>98</v>
      </c>
      <c r="I126" s="20" t="inlineStr">
        <is>
          <t>Enterprise</t>
        </is>
      </c>
      <c r="J126" s="20" t="inlineStr">
        <is>
          <t>Mensal</t>
        </is>
      </c>
      <c r="K126" s="20" t="n">
        <v>12</v>
      </c>
      <c r="L126" s="20" t="inlineStr">
        <is>
          <t>11–20</t>
        </is>
      </c>
      <c r="M126" s="20" t="inlineStr">
        <is>
          <t>UK</t>
        </is>
      </c>
      <c r="N126" s="20" t="inlineStr">
        <is>
          <t>Troca/ajuste</t>
        </is>
      </c>
      <c r="O126" s="20" t="inlineStr">
        <is>
          <t>Troca/ajuste</t>
        </is>
      </c>
      <c r="P126" s="20" t="inlineStr">
        <is>
          <t>Troca/ajuste</t>
        </is>
      </c>
      <c r="Q126" s="20" t="n">
        <v>8</v>
      </c>
      <c r="R126" s="20" t="inlineStr">
        <is>
          <t>S-938952, S-ecb8d5</t>
        </is>
      </c>
      <c r="S126" s="20" t="inlineStr">
        <is>
          <t>S-ecb8d5</t>
        </is>
      </c>
      <c r="T126" s="20" t="inlineStr">
        <is>
          <t>Plano abaixo</t>
        </is>
      </c>
      <c r="U126" s="20" t="inlineStr">
        <is>
          <t>Mudou para anual</t>
        </is>
      </c>
      <c r="V126" s="20" t="inlineStr">
        <is>
          <t>Mais seats</t>
        </is>
      </c>
      <c r="W126" s="20" t="inlineStr">
        <is>
          <t>Sim</t>
        </is>
      </c>
    </row>
    <row r="127">
      <c r="A127" s="20" t="inlineStr">
        <is>
          <t>S-04911c</t>
        </is>
      </c>
      <c r="B127" s="20" t="inlineStr">
        <is>
          <t>A-bc87bc</t>
        </is>
      </c>
      <c r="C127" s="20" t="inlineStr">
        <is>
          <t>Rápida (&lt; 30 dias)</t>
        </is>
      </c>
      <c r="D127" s="20" t="inlineStr">
        <is>
          <t>Dez/24</t>
        </is>
      </c>
      <c r="E127" s="20" t="inlineStr">
        <is>
          <t>Não</t>
        </is>
      </c>
      <c r="F127" s="21" t="n">
        <v>45627</v>
      </c>
      <c r="G127" s="21" t="n">
        <v>45641</v>
      </c>
      <c r="H127" s="20" t="n">
        <v>14</v>
      </c>
      <c r="I127" s="20" t="inlineStr">
        <is>
          <t>Pro</t>
        </is>
      </c>
      <c r="J127" s="20" t="inlineStr">
        <is>
          <t>Anual</t>
        </is>
      </c>
      <c r="K127" s="20" t="n">
        <v>3</v>
      </c>
      <c r="L127" s="20" t="inlineStr">
        <is>
          <t>01–05</t>
        </is>
      </c>
      <c r="M127" s="20" t="inlineStr">
        <is>
          <t>US</t>
        </is>
      </c>
      <c r="N127" s="20" t="inlineStr">
        <is>
          <t>Troca/ajuste</t>
        </is>
      </c>
      <c r="O127" s="20" t="inlineStr">
        <is>
          <t>Troca/ajuste</t>
        </is>
      </c>
      <c r="P127" s="20" t="inlineStr">
        <is>
          <t>Troca/ajuste</t>
        </is>
      </c>
      <c r="Q127" s="20" t="n">
        <v>6</v>
      </c>
      <c r="R127" s="20" t="inlineStr">
        <is>
          <t>S-b2f3f3, S-8ed780</t>
        </is>
      </c>
      <c r="S127" s="20" t="inlineStr">
        <is>
          <t>S-b2f3f3</t>
        </is>
      </c>
      <c r="T127" s="20" t="inlineStr">
        <is>
          <t>Plano abaixo</t>
        </is>
      </c>
      <c r="U127" s="20" t="inlineStr">
        <is>
          <t>Mudou para mensal</t>
        </is>
      </c>
      <c r="V127" s="20" t="inlineStr">
        <is>
          <t>Mais seats</t>
        </is>
      </c>
      <c r="W127" s="20" t="inlineStr">
        <is>
          <t>Não</t>
        </is>
      </c>
    </row>
    <row r="128">
      <c r="A128" s="20" t="inlineStr">
        <is>
          <t>S-075ffc</t>
        </is>
      </c>
      <c r="B128" s="20" t="inlineStr">
        <is>
          <t>A-eb7c38</t>
        </is>
      </c>
      <c r="C128" s="20" t="inlineStr">
        <is>
          <t>Lenta (30+ dias)</t>
        </is>
      </c>
      <c r="D128" s="20" t="inlineStr">
        <is>
          <t>Dez/24</t>
        </is>
      </c>
      <c r="E128" s="20" t="inlineStr">
        <is>
          <t>Não</t>
        </is>
      </c>
      <c r="F128" s="21" t="n">
        <v>45537</v>
      </c>
      <c r="G128" s="21" t="n">
        <v>45641</v>
      </c>
      <c r="H128" s="20" t="n">
        <v>104</v>
      </c>
      <c r="I128" s="20" t="inlineStr">
        <is>
          <t>Enterprise</t>
        </is>
      </c>
      <c r="J128" s="20" t="inlineStr">
        <is>
          <t>Anual</t>
        </is>
      </c>
      <c r="K128" s="20" t="n">
        <v>15</v>
      </c>
      <c r="L128" s="20" t="inlineStr">
        <is>
          <t>11–20</t>
        </is>
      </c>
      <c r="M128" s="20" t="inlineStr">
        <is>
          <t>AU</t>
        </is>
      </c>
      <c r="N128" s="20" t="inlineStr">
        <is>
          <t>Redução</t>
        </is>
      </c>
      <c r="O128" s="20" t="inlineStr">
        <is>
          <t>Redução</t>
        </is>
      </c>
      <c r="P128" s="20" t="inlineStr">
        <is>
          <t>Troca/ajuste</t>
        </is>
      </c>
      <c r="Q128" s="20" t="n">
        <v>11</v>
      </c>
      <c r="R128" s="20" t="inlineStr"/>
      <c r="S128" s="20" t="inlineStr"/>
      <c r="T128" s="20" t="inlineStr"/>
      <c r="U128" s="20" t="inlineStr"/>
      <c r="V128" s="20" t="inlineStr"/>
      <c r="W128" s="20" t="inlineStr">
        <is>
          <t>Não</t>
        </is>
      </c>
    </row>
    <row r="129">
      <c r="A129" s="20" t="inlineStr">
        <is>
          <t>S-2361ec</t>
        </is>
      </c>
      <c r="B129" s="20" t="inlineStr">
        <is>
          <t>A-c45b23</t>
        </is>
      </c>
      <c r="C129" s="20" t="inlineStr">
        <is>
          <t>Rápida (&lt; 30 dias)</t>
        </is>
      </c>
      <c r="D129" s="20" t="inlineStr">
        <is>
          <t>Dez/24</t>
        </is>
      </c>
      <c r="E129" s="20" t="inlineStr">
        <is>
          <t>Não</t>
        </is>
      </c>
      <c r="F129" s="21" t="n">
        <v>45638</v>
      </c>
      <c r="G129" s="21" t="n">
        <v>45641</v>
      </c>
      <c r="H129" s="20" t="n">
        <v>3</v>
      </c>
      <c r="I129" s="20" t="inlineStr">
        <is>
          <t>Enterprise</t>
        </is>
      </c>
      <c r="J129" s="20" t="inlineStr">
        <is>
          <t>Anual</t>
        </is>
      </c>
      <c r="K129" s="20" t="n">
        <v>26</v>
      </c>
      <c r="L129" s="20" t="inlineStr">
        <is>
          <t>21–40</t>
        </is>
      </c>
      <c r="M129" s="20" t="inlineStr">
        <is>
          <t>UK</t>
        </is>
      </c>
      <c r="N129" s="20" t="inlineStr">
        <is>
          <t>Redução</t>
        </is>
      </c>
      <c r="O129" s="20" t="inlineStr">
        <is>
          <t>Redução</t>
        </is>
      </c>
      <c r="P129" s="20" t="inlineStr">
        <is>
          <t>Redução</t>
        </is>
      </c>
      <c r="Q129" s="20" t="n">
        <v>11</v>
      </c>
      <c r="R129" s="20" t="inlineStr"/>
      <c r="S129" s="20" t="inlineStr"/>
      <c r="T129" s="20" t="inlineStr"/>
      <c r="U129" s="20" t="inlineStr"/>
      <c r="V129" s="20" t="inlineStr"/>
      <c r="W129" s="20" t="inlineStr">
        <is>
          <t>Não</t>
        </is>
      </c>
    </row>
    <row r="130">
      <c r="A130" s="20" t="inlineStr">
        <is>
          <t>S-f80617</t>
        </is>
      </c>
      <c r="B130" s="20" t="inlineStr">
        <is>
          <t>A-d4ac0e</t>
        </is>
      </c>
      <c r="C130" s="20" t="inlineStr">
        <is>
          <t>Lenta (30+ dias)</t>
        </is>
      </c>
      <c r="D130" s="20" t="inlineStr">
        <is>
          <t>Dez/24</t>
        </is>
      </c>
      <c r="E130" s="20" t="inlineStr">
        <is>
          <t>Não</t>
        </is>
      </c>
      <c r="F130" s="21" t="n">
        <v>45593</v>
      </c>
      <c r="G130" s="21" t="n">
        <v>45642</v>
      </c>
      <c r="H130" s="20" t="n">
        <v>49</v>
      </c>
      <c r="I130" s="20" t="inlineStr">
        <is>
          <t>Basic</t>
        </is>
      </c>
      <c r="J130" s="20" t="inlineStr">
        <is>
          <t>Anual</t>
        </is>
      </c>
      <c r="K130" s="20" t="n">
        <v>18</v>
      </c>
      <c r="L130" s="20" t="inlineStr">
        <is>
          <t>11–20</t>
        </is>
      </c>
      <c r="M130" s="20" t="inlineStr">
        <is>
          <t>UK</t>
        </is>
      </c>
      <c r="N130" s="20" t="inlineStr">
        <is>
          <t>Troca/ajuste</t>
        </is>
      </c>
      <c r="O130" s="20" t="inlineStr">
        <is>
          <t>Troca/ajuste</t>
        </is>
      </c>
      <c r="P130" s="20" t="inlineStr">
        <is>
          <t>Troca/ajuste</t>
        </is>
      </c>
      <c r="Q130" s="20" t="n">
        <v>18</v>
      </c>
      <c r="R130" s="20" t="inlineStr">
        <is>
          <t>S-b76ba6</t>
        </is>
      </c>
      <c r="S130" s="20" t="inlineStr">
        <is>
          <t>S-b76ba6</t>
        </is>
      </c>
      <c r="T130" s="20" t="inlineStr">
        <is>
          <t>Plano acima</t>
        </is>
      </c>
      <c r="U130" s="20" t="inlineStr">
        <is>
          <t>Mudou para mensal</t>
        </is>
      </c>
      <c r="V130" s="20" t="inlineStr">
        <is>
          <t>Mesmos seats</t>
        </is>
      </c>
      <c r="W130" s="20" t="inlineStr">
        <is>
          <t>Não</t>
        </is>
      </c>
    </row>
    <row r="131">
      <c r="A131" s="20" t="inlineStr">
        <is>
          <t>S-973e8e</t>
        </is>
      </c>
      <c r="B131" s="20" t="inlineStr">
        <is>
          <t>A-0a282f</t>
        </is>
      </c>
      <c r="C131" s="20" t="inlineStr">
        <is>
          <t>Lenta (30+ dias)</t>
        </is>
      </c>
      <c r="D131" s="20" t="inlineStr">
        <is>
          <t>Dez/24</t>
        </is>
      </c>
      <c r="E131" s="20" t="inlineStr">
        <is>
          <t>Não</t>
        </is>
      </c>
      <c r="F131" s="21" t="n">
        <v>45563</v>
      </c>
      <c r="G131" s="21" t="n">
        <v>45642</v>
      </c>
      <c r="H131" s="20" t="n">
        <v>79</v>
      </c>
      <c r="I131" s="20" t="inlineStr">
        <is>
          <t>Enterprise</t>
        </is>
      </c>
      <c r="J131" s="20" t="inlineStr">
        <is>
          <t>Anual</t>
        </is>
      </c>
      <c r="K131" s="20" t="n">
        <v>6</v>
      </c>
      <c r="L131" s="20" t="inlineStr">
        <is>
          <t>06–10</t>
        </is>
      </c>
      <c r="M131" s="20" t="inlineStr">
        <is>
          <t>US</t>
        </is>
      </c>
      <c r="N131" s="20" t="inlineStr">
        <is>
          <t>Troca/ajuste</t>
        </is>
      </c>
      <c r="O131" s="20" t="inlineStr">
        <is>
          <t>Redução</t>
        </is>
      </c>
      <c r="P131" s="20" t="inlineStr">
        <is>
          <t>Troca/ajuste</t>
        </is>
      </c>
      <c r="Q131" s="20" t="n">
        <v>9</v>
      </c>
      <c r="R131" s="20" t="inlineStr">
        <is>
          <t>S-22eb3c, S-897d69</t>
        </is>
      </c>
      <c r="S131" s="20" t="inlineStr">
        <is>
          <t>S-22eb3c</t>
        </is>
      </c>
      <c r="T131" s="20" t="inlineStr">
        <is>
          <t>Plano abaixo</t>
        </is>
      </c>
      <c r="U131" s="20" t="inlineStr">
        <is>
          <t>Mudou para mensal</t>
        </is>
      </c>
      <c r="V131" s="20" t="inlineStr">
        <is>
          <t>Mais seats</t>
        </is>
      </c>
      <c r="W131" s="20" t="inlineStr">
        <is>
          <t>Sim</t>
        </is>
      </c>
    </row>
    <row r="132">
      <c r="A132" s="20" t="inlineStr">
        <is>
          <t>S-6bd30a</t>
        </is>
      </c>
      <c r="B132" s="20" t="inlineStr">
        <is>
          <t>A-5c9849</t>
        </is>
      </c>
      <c r="C132" s="20" t="inlineStr">
        <is>
          <t>Rápida (&lt; 30 dias)</t>
        </is>
      </c>
      <c r="D132" s="20" t="inlineStr">
        <is>
          <t>Dez/24</t>
        </is>
      </c>
      <c r="E132" s="20" t="inlineStr">
        <is>
          <t>Não</t>
        </is>
      </c>
      <c r="F132" s="21" t="n">
        <v>45627</v>
      </c>
      <c r="G132" s="21" t="n">
        <v>45642</v>
      </c>
      <c r="H132" s="20" t="n">
        <v>15</v>
      </c>
      <c r="I132" s="20" t="inlineStr">
        <is>
          <t>Enterprise</t>
        </is>
      </c>
      <c r="J132" s="20" t="inlineStr">
        <is>
          <t>Mensal</t>
        </is>
      </c>
      <c r="K132" s="20" t="n">
        <v>91</v>
      </c>
      <c r="L132" s="20" t="inlineStr">
        <is>
          <t>81 ou mais</t>
        </is>
      </c>
      <c r="M132" s="20" t="inlineStr">
        <is>
          <t>IN</t>
        </is>
      </c>
      <c r="N132" s="20" t="inlineStr">
        <is>
          <t>Troca/ajuste</t>
        </is>
      </c>
      <c r="O132" s="20" t="inlineStr">
        <is>
          <t>Redução</t>
        </is>
      </c>
      <c r="P132" s="20" t="inlineStr">
        <is>
          <t>Troca/ajuste</t>
        </is>
      </c>
      <c r="Q132" s="20" t="n">
        <v>7</v>
      </c>
      <c r="R132" s="20" t="inlineStr">
        <is>
          <t>S-a1901c</t>
        </is>
      </c>
      <c r="S132" s="20" t="inlineStr">
        <is>
          <t>S-a1901c</t>
        </is>
      </c>
      <c r="T132" s="20" t="inlineStr">
        <is>
          <t>Mesmo plano</t>
        </is>
      </c>
      <c r="U132" s="20" t="inlineStr">
        <is>
          <t>Mesma cobrança</t>
        </is>
      </c>
      <c r="V132" s="20" t="inlineStr">
        <is>
          <t>Menos seats</t>
        </is>
      </c>
      <c r="W132" s="20" t="inlineStr">
        <is>
          <t>Sim</t>
        </is>
      </c>
    </row>
    <row r="133">
      <c r="A133" s="20" t="inlineStr">
        <is>
          <t>S-46ff9c</t>
        </is>
      </c>
      <c r="B133" s="20" t="inlineStr">
        <is>
          <t>A-139c3b</t>
        </is>
      </c>
      <c r="C133" s="20" t="inlineStr">
        <is>
          <t>Rápida (&lt; 30 dias)</t>
        </is>
      </c>
      <c r="D133" s="20" t="inlineStr">
        <is>
          <t>Dez/24</t>
        </is>
      </c>
      <c r="E133" s="20" t="inlineStr">
        <is>
          <t>Não</t>
        </is>
      </c>
      <c r="F133" s="21" t="n">
        <v>45623</v>
      </c>
      <c r="G133" s="21" t="n">
        <v>45642</v>
      </c>
      <c r="H133" s="20" t="n">
        <v>19</v>
      </c>
      <c r="I133" s="20" t="inlineStr">
        <is>
          <t>Pro</t>
        </is>
      </c>
      <c r="J133" s="20" t="inlineStr">
        <is>
          <t>Mensal</t>
        </is>
      </c>
      <c r="K133" s="20" t="n">
        <v>28</v>
      </c>
      <c r="L133" s="20" t="inlineStr">
        <is>
          <t>21–40</t>
        </is>
      </c>
      <c r="M133" s="20" t="inlineStr">
        <is>
          <t>US</t>
        </is>
      </c>
      <c r="N133" s="20" t="inlineStr">
        <is>
          <t>Troca/ajuste</t>
        </is>
      </c>
      <c r="O133" s="20" t="inlineStr">
        <is>
          <t>Redução</t>
        </is>
      </c>
      <c r="P133" s="20" t="inlineStr">
        <is>
          <t>Troca/ajuste</t>
        </is>
      </c>
      <c r="Q133" s="20" t="n">
        <v>3</v>
      </c>
      <c r="R133" s="20" t="inlineStr">
        <is>
          <t>S-a2afb0, S-05ad41, S-99a404</t>
        </is>
      </c>
      <c r="S133" s="20" t="inlineStr">
        <is>
          <t>S-05ad41</t>
        </is>
      </c>
      <c r="T133" s="20" t="inlineStr">
        <is>
          <t>Mesmo plano</t>
        </is>
      </c>
      <c r="U133" s="20" t="inlineStr">
        <is>
          <t>Mesma cobrança</t>
        </is>
      </c>
      <c r="V133" s="20" t="inlineStr">
        <is>
          <t>Mais seats</t>
        </is>
      </c>
      <c r="W133" s="20" t="inlineStr">
        <is>
          <t>Não</t>
        </is>
      </c>
    </row>
    <row r="134">
      <c r="A134" s="20" t="inlineStr">
        <is>
          <t>S-f99f9e</t>
        </is>
      </c>
      <c r="B134" s="20" t="inlineStr">
        <is>
          <t>A-dbc825</t>
        </is>
      </c>
      <c r="C134" s="20" t="inlineStr">
        <is>
          <t>Lenta (30+ dias)</t>
        </is>
      </c>
      <c r="D134" s="20" t="inlineStr">
        <is>
          <t>Dez/24</t>
        </is>
      </c>
      <c r="E134" s="20" t="inlineStr">
        <is>
          <t>Não</t>
        </is>
      </c>
      <c r="F134" s="21" t="n">
        <v>45584</v>
      </c>
      <c r="G134" s="21" t="n">
        <v>45643</v>
      </c>
      <c r="H134" s="20" t="n">
        <v>59</v>
      </c>
      <c r="I134" s="20" t="inlineStr">
        <is>
          <t>Enterprise</t>
        </is>
      </c>
      <c r="J134" s="20" t="inlineStr">
        <is>
          <t>Mensal</t>
        </is>
      </c>
      <c r="K134" s="20" t="n">
        <v>55</v>
      </c>
      <c r="L134" s="20" t="inlineStr">
        <is>
          <t>41–80</t>
        </is>
      </c>
      <c r="M134" s="20" t="inlineStr">
        <is>
          <t>FR</t>
        </is>
      </c>
      <c r="N134" s="20" t="inlineStr">
        <is>
          <t>Redução</t>
        </is>
      </c>
      <c r="O134" s="20" t="inlineStr">
        <is>
          <t>Redução</t>
        </is>
      </c>
      <c r="P134" s="20" t="inlineStr">
        <is>
          <t>Redução</t>
        </is>
      </c>
      <c r="Q134" s="20" t="n">
        <v>12</v>
      </c>
      <c r="R134" s="20" t="inlineStr"/>
      <c r="S134" s="20" t="inlineStr"/>
      <c r="T134" s="20" t="inlineStr"/>
      <c r="U134" s="20" t="inlineStr"/>
      <c r="V134" s="20" t="inlineStr"/>
      <c r="W134" s="20" t="inlineStr">
        <is>
          <t>Não</t>
        </is>
      </c>
    </row>
    <row r="135">
      <c r="A135" s="20" t="inlineStr">
        <is>
          <t>S-c22c29</t>
        </is>
      </c>
      <c r="B135" s="20" t="inlineStr">
        <is>
          <t>A-692f18</t>
        </is>
      </c>
      <c r="C135" s="20" t="inlineStr">
        <is>
          <t>Rápida (&lt; 30 dias)</t>
        </is>
      </c>
      <c r="D135" s="20" t="inlineStr">
        <is>
          <t>Dez/24</t>
        </is>
      </c>
      <c r="E135" s="20" t="inlineStr">
        <is>
          <t>Não</t>
        </is>
      </c>
      <c r="F135" s="21" t="n">
        <v>45641</v>
      </c>
      <c r="G135" s="21" t="n">
        <v>45643</v>
      </c>
      <c r="H135" s="20" t="n">
        <v>2</v>
      </c>
      <c r="I135" s="20" t="inlineStr">
        <is>
          <t>Enterprise</t>
        </is>
      </c>
      <c r="J135" s="20" t="inlineStr">
        <is>
          <t>Anual</t>
        </is>
      </c>
      <c r="K135" s="20" t="n">
        <v>28</v>
      </c>
      <c r="L135" s="20" t="inlineStr">
        <is>
          <t>21–40</t>
        </is>
      </c>
      <c r="M135" s="20" t="inlineStr">
        <is>
          <t>US</t>
        </is>
      </c>
      <c r="N135" s="20" t="inlineStr">
        <is>
          <t>Troca/ajuste</t>
        </is>
      </c>
      <c r="O135" s="20" t="inlineStr">
        <is>
          <t>Troca/ajuste</t>
        </is>
      </c>
      <c r="P135" s="20" t="inlineStr">
        <is>
          <t>Troca/ajuste</t>
        </is>
      </c>
      <c r="Q135" s="20" t="n">
        <v>16</v>
      </c>
      <c r="R135" s="20" t="inlineStr">
        <is>
          <t>S-2557d9</t>
        </is>
      </c>
      <c r="S135" s="20" t="inlineStr">
        <is>
          <t>S-2557d9</t>
        </is>
      </c>
      <c r="T135" s="20" t="inlineStr">
        <is>
          <t>Mesmo plano</t>
        </is>
      </c>
      <c r="U135" s="20" t="inlineStr">
        <is>
          <t>Mudou para mensal</t>
        </is>
      </c>
      <c r="V135" s="20" t="inlineStr">
        <is>
          <t>Menos seats</t>
        </is>
      </c>
      <c r="W135" s="20" t="inlineStr">
        <is>
          <t>Sim</t>
        </is>
      </c>
    </row>
    <row r="136">
      <c r="A136" s="20" t="inlineStr">
        <is>
          <t>S-1fb7ac</t>
        </is>
      </c>
      <c r="B136" s="20" t="inlineStr">
        <is>
          <t>A-117171</t>
        </is>
      </c>
      <c r="C136" s="20" t="inlineStr">
        <is>
          <t>Rápida (&lt; 30 dias)</t>
        </is>
      </c>
      <c r="D136" s="20" t="inlineStr">
        <is>
          <t>Dez/24</t>
        </is>
      </c>
      <c r="E136" s="20" t="inlineStr">
        <is>
          <t>Não</t>
        </is>
      </c>
      <c r="F136" s="21" t="n">
        <v>45640</v>
      </c>
      <c r="G136" s="21" t="n">
        <v>45643</v>
      </c>
      <c r="H136" s="20" t="n">
        <v>3</v>
      </c>
      <c r="I136" s="20" t="inlineStr">
        <is>
          <t>Pro</t>
        </is>
      </c>
      <c r="J136" s="20" t="inlineStr">
        <is>
          <t>Anual</t>
        </is>
      </c>
      <c r="K136" s="20" t="n">
        <v>45</v>
      </c>
      <c r="L136" s="20" t="inlineStr">
        <is>
          <t>41–80</t>
        </is>
      </c>
      <c r="M136" s="20" t="inlineStr">
        <is>
          <t>FR</t>
        </is>
      </c>
      <c r="N136" s="20" t="inlineStr">
        <is>
          <t>Redução</t>
        </is>
      </c>
      <c r="O136" s="20" t="inlineStr">
        <is>
          <t>Redução</t>
        </is>
      </c>
      <c r="P136" s="20" t="inlineStr">
        <is>
          <t>Redução</t>
        </is>
      </c>
      <c r="Q136" s="20" t="n">
        <v>4</v>
      </c>
      <c r="R136" s="20" t="inlineStr"/>
      <c r="S136" s="20" t="inlineStr"/>
      <c r="T136" s="20" t="inlineStr"/>
      <c r="U136" s="20" t="inlineStr"/>
      <c r="V136" s="20" t="inlineStr"/>
      <c r="W136" s="20" t="inlineStr">
        <is>
          <t>Sim</t>
        </is>
      </c>
    </row>
    <row r="137">
      <c r="A137" s="20" t="inlineStr">
        <is>
          <t>S-b7d291</t>
        </is>
      </c>
      <c r="B137" s="20" t="inlineStr">
        <is>
          <t>A-f6b2fb</t>
        </is>
      </c>
      <c r="C137" s="20" t="inlineStr">
        <is>
          <t>Lenta (30+ dias)</t>
        </is>
      </c>
      <c r="D137" s="20" t="inlineStr">
        <is>
          <t>Dez/24</t>
        </is>
      </c>
      <c r="E137" s="20" t="inlineStr">
        <is>
          <t>Não</t>
        </is>
      </c>
      <c r="F137" s="21" t="n">
        <v>45582</v>
      </c>
      <c r="G137" s="21" t="n">
        <v>45643</v>
      </c>
      <c r="H137" s="20" t="n">
        <v>61</v>
      </c>
      <c r="I137" s="20" t="inlineStr">
        <is>
          <t>Pro</t>
        </is>
      </c>
      <c r="J137" s="20" t="inlineStr">
        <is>
          <t>Anual</t>
        </is>
      </c>
      <c r="K137" s="20" t="n">
        <v>23</v>
      </c>
      <c r="L137" s="20" t="inlineStr">
        <is>
          <t>21–40</t>
        </is>
      </c>
      <c r="M137" s="20" t="inlineStr">
        <is>
          <t>AU</t>
        </is>
      </c>
      <c r="N137" s="20" t="inlineStr">
        <is>
          <t>Redução</t>
        </is>
      </c>
      <c r="O137" s="20" t="inlineStr">
        <is>
          <t>Redução</t>
        </is>
      </c>
      <c r="P137" s="20" t="inlineStr">
        <is>
          <t>Redução</t>
        </is>
      </c>
      <c r="Q137" s="20" t="n">
        <v>9</v>
      </c>
      <c r="R137" s="20" t="inlineStr"/>
      <c r="S137" s="20" t="inlineStr"/>
      <c r="T137" s="20" t="inlineStr"/>
      <c r="U137" s="20" t="inlineStr"/>
      <c r="V137" s="20" t="inlineStr"/>
      <c r="W137" s="20" t="inlineStr">
        <is>
          <t>Não</t>
        </is>
      </c>
    </row>
    <row r="138">
      <c r="A138" s="20" t="inlineStr">
        <is>
          <t>S-ed9451</t>
        </is>
      </c>
      <c r="B138" s="20" t="inlineStr">
        <is>
          <t>A-bd4513</t>
        </is>
      </c>
      <c r="C138" s="20" t="inlineStr">
        <is>
          <t>Rápida (&lt; 30 dias)</t>
        </is>
      </c>
      <c r="D138" s="20" t="inlineStr">
        <is>
          <t>Dez/24</t>
        </is>
      </c>
      <c r="E138" s="20" t="inlineStr">
        <is>
          <t>Não</t>
        </is>
      </c>
      <c r="F138" s="21" t="n">
        <v>45643</v>
      </c>
      <c r="G138" s="21" t="n">
        <v>45643</v>
      </c>
      <c r="H138" s="20" t="n">
        <v>0</v>
      </c>
      <c r="I138" s="20" t="inlineStr">
        <is>
          <t>Pro</t>
        </is>
      </c>
      <c r="J138" s="20" t="inlineStr">
        <is>
          <t>Anual</t>
        </is>
      </c>
      <c r="K138" s="20" t="n">
        <v>50</v>
      </c>
      <c r="L138" s="20" t="inlineStr">
        <is>
          <t>41–80</t>
        </is>
      </c>
      <c r="M138" s="20" t="inlineStr">
        <is>
          <t>AU</t>
        </is>
      </c>
      <c r="N138" s="20" t="inlineStr">
        <is>
          <t>Troca/ajuste</t>
        </is>
      </c>
      <c r="O138" s="20" t="inlineStr">
        <is>
          <t>Troca/ajuste</t>
        </is>
      </c>
      <c r="P138" s="20" t="inlineStr">
        <is>
          <t>Troca/ajuste</t>
        </is>
      </c>
      <c r="Q138" s="20" t="n">
        <v>9</v>
      </c>
      <c r="R138" s="20" t="inlineStr">
        <is>
          <t>S-b4c914, S-642365, S-d90f5e, S-9c19fe</t>
        </is>
      </c>
      <c r="S138" s="20" t="inlineStr">
        <is>
          <t>S-d90f5e</t>
        </is>
      </c>
      <c r="T138" s="20" t="inlineStr">
        <is>
          <t>Plano abaixo</t>
        </is>
      </c>
      <c r="U138" s="20" t="inlineStr">
        <is>
          <t>Mesma cobrança</t>
        </is>
      </c>
      <c r="V138" s="20" t="inlineStr">
        <is>
          <t>Mesmos seats</t>
        </is>
      </c>
      <c r="W138" s="20" t="inlineStr">
        <is>
          <t>Sim</t>
        </is>
      </c>
    </row>
    <row r="139">
      <c r="A139" s="20" t="inlineStr">
        <is>
          <t>S-9d727d</t>
        </is>
      </c>
      <c r="B139" s="20" t="inlineStr">
        <is>
          <t>A-ac85cd</t>
        </is>
      </c>
      <c r="C139" s="20" t="inlineStr">
        <is>
          <t>Rápida (&lt; 30 dias)</t>
        </is>
      </c>
      <c r="D139" s="20" t="inlineStr">
        <is>
          <t>Dez/24</t>
        </is>
      </c>
      <c r="E139" s="20" t="inlineStr">
        <is>
          <t>Não</t>
        </is>
      </c>
      <c r="F139" s="21" t="n">
        <v>45635</v>
      </c>
      <c r="G139" s="21" t="n">
        <v>45644</v>
      </c>
      <c r="H139" s="20" t="n">
        <v>9</v>
      </c>
      <c r="I139" s="20" t="inlineStr">
        <is>
          <t>Basic</t>
        </is>
      </c>
      <c r="J139" s="20" t="inlineStr">
        <is>
          <t>Mensal</t>
        </is>
      </c>
      <c r="K139" s="20" t="n">
        <v>53</v>
      </c>
      <c r="L139" s="20" t="inlineStr">
        <is>
          <t>41–80</t>
        </is>
      </c>
      <c r="M139" s="20" t="inlineStr">
        <is>
          <t>US</t>
        </is>
      </c>
      <c r="N139" s="20" t="inlineStr">
        <is>
          <t>Troca/ajuste</t>
        </is>
      </c>
      <c r="O139" s="20" t="inlineStr">
        <is>
          <t>Redução</t>
        </is>
      </c>
      <c r="P139" s="20" t="inlineStr">
        <is>
          <t>Troca/ajuste</t>
        </is>
      </c>
      <c r="Q139" s="20" t="n">
        <v>6</v>
      </c>
      <c r="R139" s="20" t="inlineStr">
        <is>
          <t>S-b35203, S-790762</t>
        </is>
      </c>
      <c r="S139" s="20" t="inlineStr">
        <is>
          <t>S-b35203</t>
        </is>
      </c>
      <c r="T139" s="20" t="inlineStr">
        <is>
          <t>Plano acima</t>
        </is>
      </c>
      <c r="U139" s="20" t="inlineStr">
        <is>
          <t>Mesma cobrança</t>
        </is>
      </c>
      <c r="V139" s="20" t="inlineStr">
        <is>
          <t>Mesmos seats</t>
        </is>
      </c>
      <c r="W139" s="20" t="inlineStr">
        <is>
          <t>Sim</t>
        </is>
      </c>
    </row>
    <row r="140">
      <c r="A140" s="20" t="inlineStr">
        <is>
          <t>S-d82234</t>
        </is>
      </c>
      <c r="B140" s="20" t="inlineStr">
        <is>
          <t>A-d77f4c</t>
        </is>
      </c>
      <c r="C140" s="20" t="inlineStr">
        <is>
          <t>Rápida (&lt; 30 dias)</t>
        </is>
      </c>
      <c r="D140" s="20" t="inlineStr">
        <is>
          <t>Dez/24</t>
        </is>
      </c>
      <c r="E140" s="20" t="inlineStr">
        <is>
          <t>Não</t>
        </is>
      </c>
      <c r="F140" s="21" t="n">
        <v>45643</v>
      </c>
      <c r="G140" s="21" t="n">
        <v>45644</v>
      </c>
      <c r="H140" s="20" t="n">
        <v>1</v>
      </c>
      <c r="I140" s="20" t="inlineStr">
        <is>
          <t>Pro</t>
        </is>
      </c>
      <c r="J140" s="20" t="inlineStr">
        <is>
          <t>Anual</t>
        </is>
      </c>
      <c r="K140" s="20" t="n">
        <v>4</v>
      </c>
      <c r="L140" s="20" t="inlineStr">
        <is>
          <t>01–05</t>
        </is>
      </c>
      <c r="M140" s="20" t="inlineStr">
        <is>
          <t>US</t>
        </is>
      </c>
      <c r="N140" s="20" t="inlineStr">
        <is>
          <t>Redução</t>
        </is>
      </c>
      <c r="O140" s="20" t="inlineStr">
        <is>
          <t>Redução</t>
        </is>
      </c>
      <c r="P140" s="20" t="inlineStr">
        <is>
          <t>Redução</t>
        </is>
      </c>
      <c r="Q140" s="20" t="n">
        <v>12</v>
      </c>
      <c r="R140" s="20" t="inlineStr"/>
      <c r="S140" s="20" t="inlineStr"/>
      <c r="T140" s="20" t="inlineStr"/>
      <c r="U140" s="20" t="inlineStr"/>
      <c r="V140" s="20" t="inlineStr"/>
      <c r="W140" s="20" t="inlineStr">
        <is>
          <t>Sim</t>
        </is>
      </c>
    </row>
    <row r="141">
      <c r="A141" s="20" t="inlineStr">
        <is>
          <t>S-e339fb</t>
        </is>
      </c>
      <c r="B141" s="20" t="inlineStr">
        <is>
          <t>A-c1e51e</t>
        </is>
      </c>
      <c r="C141" s="20" t="inlineStr">
        <is>
          <t>Lenta (30+ dias)</t>
        </is>
      </c>
      <c r="D141" s="20" t="inlineStr">
        <is>
          <t>Dez/24</t>
        </is>
      </c>
      <c r="E141" s="20" t="inlineStr">
        <is>
          <t>Não</t>
        </is>
      </c>
      <c r="F141" s="21" t="n">
        <v>45596</v>
      </c>
      <c r="G141" s="21" t="n">
        <v>45644</v>
      </c>
      <c r="H141" s="20" t="n">
        <v>48</v>
      </c>
      <c r="I141" s="20" t="inlineStr">
        <is>
          <t>Enterprise</t>
        </is>
      </c>
      <c r="J141" s="20" t="inlineStr">
        <is>
          <t>Anual</t>
        </is>
      </c>
      <c r="K141" s="20" t="n">
        <v>14</v>
      </c>
      <c r="L141" s="20" t="inlineStr">
        <is>
          <t>11–20</t>
        </is>
      </c>
      <c r="M141" s="20" t="inlineStr">
        <is>
          <t>US</t>
        </is>
      </c>
      <c r="N141" s="20" t="inlineStr">
        <is>
          <t>Troca/ajuste</t>
        </is>
      </c>
      <c r="O141" s="20" t="inlineStr">
        <is>
          <t>Troca/ajuste</t>
        </is>
      </c>
      <c r="P141" s="20" t="inlineStr">
        <is>
          <t>Troca/ajuste</t>
        </is>
      </c>
      <c r="Q141" s="20" t="n">
        <v>6</v>
      </c>
      <c r="R141" s="20" t="inlineStr">
        <is>
          <t>S-9fa080, S-ad45ea, S-7c2997</t>
        </is>
      </c>
      <c r="S141" s="20" t="inlineStr">
        <is>
          <t>S-7c2997</t>
        </is>
      </c>
      <c r="T141" s="20" t="inlineStr">
        <is>
          <t>Plano abaixo</t>
        </is>
      </c>
      <c r="U141" s="20" t="inlineStr">
        <is>
          <t>Mesma cobrança</t>
        </is>
      </c>
      <c r="V141" s="20" t="inlineStr">
        <is>
          <t>Mais seats</t>
        </is>
      </c>
      <c r="W141" s="20" t="inlineStr">
        <is>
          <t>Sim</t>
        </is>
      </c>
    </row>
    <row r="142">
      <c r="A142" s="20" t="inlineStr">
        <is>
          <t>S-0cb6ed</t>
        </is>
      </c>
      <c r="B142" s="20" t="inlineStr">
        <is>
          <t>A-ac85cd</t>
        </is>
      </c>
      <c r="C142" s="20" t="inlineStr">
        <is>
          <t>Lenta (30+ dias)</t>
        </is>
      </c>
      <c r="D142" s="20" t="inlineStr">
        <is>
          <t>Dez/24</t>
        </is>
      </c>
      <c r="E142" s="20" t="inlineStr">
        <is>
          <t>Não</t>
        </is>
      </c>
      <c r="F142" s="21" t="n">
        <v>45605</v>
      </c>
      <c r="G142" s="21" t="n">
        <v>45644</v>
      </c>
      <c r="H142" s="20" t="n">
        <v>39</v>
      </c>
      <c r="I142" s="20" t="inlineStr">
        <is>
          <t>Pro</t>
        </is>
      </c>
      <c r="J142" s="20" t="inlineStr">
        <is>
          <t>Anual</t>
        </is>
      </c>
      <c r="K142" s="20" t="n">
        <v>53</v>
      </c>
      <c r="L142" s="20" t="inlineStr">
        <is>
          <t>41–80</t>
        </is>
      </c>
      <c r="M142" s="20" t="inlineStr">
        <is>
          <t>US</t>
        </is>
      </c>
      <c r="N142" s="20" t="inlineStr">
        <is>
          <t>Troca/ajuste</t>
        </is>
      </c>
      <c r="O142" s="20" t="inlineStr">
        <is>
          <t>Redução</t>
        </is>
      </c>
      <c r="P142" s="20" t="inlineStr">
        <is>
          <t>Troca/ajuste</t>
        </is>
      </c>
      <c r="Q142" s="20" t="n">
        <v>6</v>
      </c>
      <c r="R142" s="20" t="inlineStr">
        <is>
          <t>S-b35203, S-790762</t>
        </is>
      </c>
      <c r="S142" s="20" t="inlineStr">
        <is>
          <t>S-b35203</t>
        </is>
      </c>
      <c r="T142" s="20" t="inlineStr">
        <is>
          <t>Plano acima</t>
        </is>
      </c>
      <c r="U142" s="20" t="inlineStr">
        <is>
          <t>Mudou para mensal</t>
        </is>
      </c>
      <c r="V142" s="20" t="inlineStr">
        <is>
          <t>Mesmos seats</t>
        </is>
      </c>
      <c r="W142" s="20" t="inlineStr">
        <is>
          <t>Sim</t>
        </is>
      </c>
    </row>
    <row r="143">
      <c r="A143" s="20" t="inlineStr">
        <is>
          <t>S-37b59a</t>
        </is>
      </c>
      <c r="B143" s="20" t="inlineStr">
        <is>
          <t>A-2d1036</t>
        </is>
      </c>
      <c r="C143" s="20" t="inlineStr">
        <is>
          <t>Lenta (30+ dias)</t>
        </is>
      </c>
      <c r="D143" s="20" t="inlineStr">
        <is>
          <t>Dez/24</t>
        </is>
      </c>
      <c r="E143" s="20" t="inlineStr">
        <is>
          <t>Não</t>
        </is>
      </c>
      <c r="F143" s="21" t="n">
        <v>45559</v>
      </c>
      <c r="G143" s="21" t="n">
        <v>45644</v>
      </c>
      <c r="H143" s="20" t="n">
        <v>85</v>
      </c>
      <c r="I143" s="20" t="inlineStr">
        <is>
          <t>Pro</t>
        </is>
      </c>
      <c r="J143" s="20" t="inlineStr">
        <is>
          <t>Anual</t>
        </is>
      </c>
      <c r="K143" s="20" t="n">
        <v>69</v>
      </c>
      <c r="L143" s="20" t="inlineStr">
        <is>
          <t>41–80</t>
        </is>
      </c>
      <c r="M143" s="20" t="inlineStr">
        <is>
          <t>US</t>
        </is>
      </c>
      <c r="N143" s="20" t="inlineStr">
        <is>
          <t>Troca/ajuste</t>
        </is>
      </c>
      <c r="O143" s="20" t="inlineStr">
        <is>
          <t>Troca/ajuste</t>
        </is>
      </c>
      <c r="P143" s="20" t="inlineStr">
        <is>
          <t>Troca/ajuste</t>
        </is>
      </c>
      <c r="Q143" s="20" t="n">
        <v>10</v>
      </c>
      <c r="R143" s="20" t="inlineStr">
        <is>
          <t>S-b95aac</t>
        </is>
      </c>
      <c r="S143" s="20" t="inlineStr">
        <is>
          <t>S-b95aac</t>
        </is>
      </c>
      <c r="T143" s="20" t="inlineStr">
        <is>
          <t>Mesmo plano</t>
        </is>
      </c>
      <c r="U143" s="20" t="inlineStr">
        <is>
          <t>Mudou para mensal</t>
        </is>
      </c>
      <c r="V143" s="20" t="inlineStr">
        <is>
          <t>Mesmos seats</t>
        </is>
      </c>
      <c r="W143" s="20" t="inlineStr">
        <is>
          <t>Não</t>
        </is>
      </c>
    </row>
    <row r="144">
      <c r="A144" s="20" t="inlineStr">
        <is>
          <t>S-f965de</t>
        </is>
      </c>
      <c r="B144" s="20" t="inlineStr">
        <is>
          <t>A-ab438f</t>
        </is>
      </c>
      <c r="C144" s="20" t="inlineStr">
        <is>
          <t>Lenta (30+ dias)</t>
        </is>
      </c>
      <c r="D144" s="20" t="inlineStr">
        <is>
          <t>Dez/24</t>
        </is>
      </c>
      <c r="E144" s="20" t="inlineStr">
        <is>
          <t>Não</t>
        </is>
      </c>
      <c r="F144" s="21" t="n">
        <v>45585</v>
      </c>
      <c r="G144" s="21" t="n">
        <v>45644</v>
      </c>
      <c r="H144" s="20" t="n">
        <v>59</v>
      </c>
      <c r="I144" s="20" t="inlineStr">
        <is>
          <t>Pro</t>
        </is>
      </c>
      <c r="J144" s="20" t="inlineStr">
        <is>
          <t>Mensal</t>
        </is>
      </c>
      <c r="K144" s="20" t="n">
        <v>64</v>
      </c>
      <c r="L144" s="20" t="inlineStr">
        <is>
          <t>41–80</t>
        </is>
      </c>
      <c r="M144" s="20" t="inlineStr">
        <is>
          <t>US</t>
        </is>
      </c>
      <c r="N144" s="20" t="inlineStr">
        <is>
          <t>Troca/ajuste</t>
        </is>
      </c>
      <c r="O144" s="20" t="inlineStr">
        <is>
          <t>Redução</t>
        </is>
      </c>
      <c r="P144" s="20" t="inlineStr">
        <is>
          <t>Troca/ajuste</t>
        </is>
      </c>
      <c r="Q144" s="20" t="n">
        <v>5</v>
      </c>
      <c r="R144" s="20" t="inlineStr">
        <is>
          <t>S-1d5f4e</t>
        </is>
      </c>
      <c r="S144" s="20" t="inlineStr">
        <is>
          <t>S-1d5f4e</t>
        </is>
      </c>
      <c r="T144" s="20" t="inlineStr">
        <is>
          <t>Mesmo plano</t>
        </is>
      </c>
      <c r="U144" s="20" t="inlineStr">
        <is>
          <t>Mesma cobrança</t>
        </is>
      </c>
      <c r="V144" s="20" t="inlineStr">
        <is>
          <t>Menos seats</t>
        </is>
      </c>
      <c r="W144" s="20" t="inlineStr">
        <is>
          <t>Sim</t>
        </is>
      </c>
    </row>
    <row r="145">
      <c r="A145" s="20" t="inlineStr">
        <is>
          <t>S-404ecd</t>
        </is>
      </c>
      <c r="B145" s="20" t="inlineStr">
        <is>
          <t>A-592832</t>
        </is>
      </c>
      <c r="C145" s="20" t="inlineStr">
        <is>
          <t>Lenta (30+ dias)</t>
        </is>
      </c>
      <c r="D145" s="20" t="inlineStr">
        <is>
          <t>Dez/24</t>
        </is>
      </c>
      <c r="E145" s="20" t="inlineStr">
        <is>
          <t>Não</t>
        </is>
      </c>
      <c r="F145" s="21" t="n">
        <v>45562</v>
      </c>
      <c r="G145" s="21" t="n">
        <v>45644</v>
      </c>
      <c r="H145" s="20" t="n">
        <v>82</v>
      </c>
      <c r="I145" s="20" t="inlineStr">
        <is>
          <t>Enterprise</t>
        </is>
      </c>
      <c r="J145" s="20" t="inlineStr">
        <is>
          <t>Mensal</t>
        </is>
      </c>
      <c r="K145" s="20" t="n">
        <v>18</v>
      </c>
      <c r="L145" s="20" t="inlineStr">
        <is>
          <t>11–20</t>
        </is>
      </c>
      <c r="M145" s="20" t="inlineStr">
        <is>
          <t>US</t>
        </is>
      </c>
      <c r="N145" s="20" t="inlineStr">
        <is>
          <t>Troca/ajuste</t>
        </is>
      </c>
      <c r="O145" s="20" t="inlineStr">
        <is>
          <t>Troca/ajuste</t>
        </is>
      </c>
      <c r="P145" s="20" t="inlineStr">
        <is>
          <t>Troca/ajuste</t>
        </is>
      </c>
      <c r="Q145" s="20" t="n">
        <v>12</v>
      </c>
      <c r="R145" s="20" t="inlineStr">
        <is>
          <t>S-d97185, S-a4d69d, S-8b1b5a, S-edd29b, S-763b53</t>
        </is>
      </c>
      <c r="S145" s="20" t="inlineStr">
        <is>
          <t>S-8b1b5a</t>
        </is>
      </c>
      <c r="T145" s="20" t="inlineStr">
        <is>
          <t>Plano abaixo</t>
        </is>
      </c>
      <c r="U145" s="20" t="inlineStr">
        <is>
          <t>Mudou para anual</t>
        </is>
      </c>
      <c r="V145" s="20" t="inlineStr">
        <is>
          <t>Mesmos seats</t>
        </is>
      </c>
      <c r="W145" s="20" t="inlineStr">
        <is>
          <t>Não</t>
        </is>
      </c>
    </row>
    <row r="146">
      <c r="A146" s="20" t="inlineStr">
        <is>
          <t>S-62fa42</t>
        </is>
      </c>
      <c r="B146" s="20" t="inlineStr">
        <is>
          <t>A-bb1486</t>
        </is>
      </c>
      <c r="C146" s="20" t="inlineStr">
        <is>
          <t>Rápida (&lt; 30 dias)</t>
        </is>
      </c>
      <c r="D146" s="20" t="inlineStr">
        <is>
          <t>Dez/24</t>
        </is>
      </c>
      <c r="E146" s="20" t="inlineStr">
        <is>
          <t>Não</t>
        </is>
      </c>
      <c r="F146" s="21" t="n">
        <v>45632</v>
      </c>
      <c r="G146" s="21" t="n">
        <v>45645</v>
      </c>
      <c r="H146" s="20" t="n">
        <v>13</v>
      </c>
      <c r="I146" s="20" t="inlineStr">
        <is>
          <t>Basic</t>
        </is>
      </c>
      <c r="J146" s="20" t="inlineStr">
        <is>
          <t>Anual</t>
        </is>
      </c>
      <c r="K146" s="20" t="n">
        <v>41</v>
      </c>
      <c r="L146" s="20" t="inlineStr">
        <is>
          <t>41–80</t>
        </is>
      </c>
      <c r="M146" s="20" t="inlineStr">
        <is>
          <t>US</t>
        </is>
      </c>
      <c r="N146" s="20" t="inlineStr">
        <is>
          <t>Troca/ajuste</t>
        </is>
      </c>
      <c r="O146" s="20" t="inlineStr">
        <is>
          <t>Troca/ajuste</t>
        </is>
      </c>
      <c r="P146" s="20" t="inlineStr">
        <is>
          <t>Troca/ajuste</t>
        </is>
      </c>
      <c r="Q146" s="20" t="n">
        <v>6</v>
      </c>
      <c r="R146" s="20" t="inlineStr">
        <is>
          <t>S-bae2c4, S-a19f87</t>
        </is>
      </c>
      <c r="S146" s="20" t="inlineStr">
        <is>
          <t>S-a19f87</t>
        </is>
      </c>
      <c r="T146" s="20" t="inlineStr">
        <is>
          <t>Plano acima</t>
        </is>
      </c>
      <c r="U146" s="20" t="inlineStr">
        <is>
          <t>Mesma cobrança</t>
        </is>
      </c>
      <c r="V146" s="20" t="inlineStr">
        <is>
          <t>Mesmos seats</t>
        </is>
      </c>
      <c r="W146" s="20" t="inlineStr">
        <is>
          <t>Sim</t>
        </is>
      </c>
    </row>
    <row r="147">
      <c r="A147" s="20" t="inlineStr">
        <is>
          <t>S-431c03</t>
        </is>
      </c>
      <c r="B147" s="20" t="inlineStr">
        <is>
          <t>A-e4bf56</t>
        </is>
      </c>
      <c r="C147" s="20" t="inlineStr">
        <is>
          <t>Rápida (&lt; 30 dias)</t>
        </is>
      </c>
      <c r="D147" s="20" t="inlineStr">
        <is>
          <t>Dez/24</t>
        </is>
      </c>
      <c r="E147" s="20" t="inlineStr">
        <is>
          <t>Não</t>
        </is>
      </c>
      <c r="F147" s="21" t="n">
        <v>45628</v>
      </c>
      <c r="G147" s="21" t="n">
        <v>45645</v>
      </c>
      <c r="H147" s="20" t="n">
        <v>17</v>
      </c>
      <c r="I147" s="20" t="inlineStr">
        <is>
          <t>Enterprise</t>
        </is>
      </c>
      <c r="J147" s="20" t="inlineStr">
        <is>
          <t>Mensal</t>
        </is>
      </c>
      <c r="K147" s="20" t="n">
        <v>37</v>
      </c>
      <c r="L147" s="20" t="inlineStr">
        <is>
          <t>21–40</t>
        </is>
      </c>
      <c r="M147" s="20" t="inlineStr">
        <is>
          <t>IN</t>
        </is>
      </c>
      <c r="N147" s="20" t="inlineStr">
        <is>
          <t>Troca/ajuste</t>
        </is>
      </c>
      <c r="O147" s="20" t="inlineStr">
        <is>
          <t>Troca/ajuste</t>
        </is>
      </c>
      <c r="P147" s="20" t="inlineStr">
        <is>
          <t>Troca/ajuste</t>
        </is>
      </c>
      <c r="Q147" s="20" t="n">
        <v>5</v>
      </c>
      <c r="R147" s="20" t="inlineStr">
        <is>
          <t>S-bba658, S-51569a, S-aeec81, S-69fb37</t>
        </is>
      </c>
      <c r="S147" s="20" t="inlineStr">
        <is>
          <t>S-bba658</t>
        </is>
      </c>
      <c r="T147" s="20" t="inlineStr">
        <is>
          <t>Plano abaixo</t>
        </is>
      </c>
      <c r="U147" s="20" t="inlineStr">
        <is>
          <t>Mesma cobrança</t>
        </is>
      </c>
      <c r="V147" s="20" t="inlineStr">
        <is>
          <t>Menos seats</t>
        </is>
      </c>
      <c r="W147" s="20" t="inlineStr">
        <is>
          <t>Não</t>
        </is>
      </c>
    </row>
    <row r="148">
      <c r="A148" s="20" t="inlineStr">
        <is>
          <t>S-6cb3d7</t>
        </is>
      </c>
      <c r="B148" s="20" t="inlineStr">
        <is>
          <t>A-fd7ad3</t>
        </is>
      </c>
      <c r="C148" s="20" t="inlineStr">
        <is>
          <t>Rápida (&lt; 30 dias)</t>
        </is>
      </c>
      <c r="D148" s="20" t="inlineStr">
        <is>
          <t>Dez/24</t>
        </is>
      </c>
      <c r="E148" s="20" t="inlineStr">
        <is>
          <t>Não</t>
        </is>
      </c>
      <c r="F148" s="21" t="n">
        <v>45622</v>
      </c>
      <c r="G148" s="21" t="n">
        <v>45646</v>
      </c>
      <c r="H148" s="20" t="n">
        <v>24</v>
      </c>
      <c r="I148" s="20" t="inlineStr">
        <is>
          <t>Pro</t>
        </is>
      </c>
      <c r="J148" s="20" t="inlineStr">
        <is>
          <t>Anual</t>
        </is>
      </c>
      <c r="K148" s="20" t="n">
        <v>11</v>
      </c>
      <c r="L148" s="20" t="inlineStr">
        <is>
          <t>11–20</t>
        </is>
      </c>
      <c r="M148" s="20" t="inlineStr">
        <is>
          <t>US</t>
        </is>
      </c>
      <c r="N148" s="20" t="inlineStr">
        <is>
          <t>Troca/ajuste</t>
        </is>
      </c>
      <c r="O148" s="20" t="inlineStr">
        <is>
          <t>Troca/ajuste</t>
        </is>
      </c>
      <c r="P148" s="20" t="inlineStr">
        <is>
          <t>Troca/ajuste</t>
        </is>
      </c>
      <c r="Q148" s="20" t="n">
        <v>7</v>
      </c>
      <c r="R148" s="20" t="inlineStr">
        <is>
          <t>S-80af53, S-4f43fd</t>
        </is>
      </c>
      <c r="S148" s="20" t="inlineStr">
        <is>
          <t>S-80af53</t>
        </is>
      </c>
      <c r="T148" s="20" t="inlineStr">
        <is>
          <t>Plano acima</t>
        </is>
      </c>
      <c r="U148" s="20" t="inlineStr">
        <is>
          <t>Mudou para mensal</t>
        </is>
      </c>
      <c r="V148" s="20" t="inlineStr">
        <is>
          <t>Mais seats</t>
        </is>
      </c>
      <c r="W148" s="20" t="inlineStr">
        <is>
          <t>Sim</t>
        </is>
      </c>
    </row>
    <row r="149">
      <c r="A149" s="20" t="inlineStr">
        <is>
          <t>S-9bf16e</t>
        </is>
      </c>
      <c r="B149" s="20" t="inlineStr">
        <is>
          <t>A-533452</t>
        </is>
      </c>
      <c r="C149" s="20" t="inlineStr">
        <is>
          <t>Rápida (&lt; 30 dias)</t>
        </is>
      </c>
      <c r="D149" s="20" t="inlineStr">
        <is>
          <t>Dez/24</t>
        </is>
      </c>
      <c r="E149" s="20" t="inlineStr">
        <is>
          <t>Não</t>
        </is>
      </c>
      <c r="F149" s="21" t="n">
        <v>45619</v>
      </c>
      <c r="G149" s="21" t="n">
        <v>45646</v>
      </c>
      <c r="H149" s="20" t="n">
        <v>27</v>
      </c>
      <c r="I149" s="20" t="inlineStr">
        <is>
          <t>Pro</t>
        </is>
      </c>
      <c r="J149" s="20" t="inlineStr">
        <is>
          <t>Mensal</t>
        </is>
      </c>
      <c r="K149" s="20" t="n">
        <v>9</v>
      </c>
      <c r="L149" s="20" t="inlineStr">
        <is>
          <t>06–10</t>
        </is>
      </c>
      <c r="M149" s="20" t="inlineStr">
        <is>
          <t>AU</t>
        </is>
      </c>
      <c r="N149" s="20" t="inlineStr">
        <is>
          <t>Troca/ajuste</t>
        </is>
      </c>
      <c r="O149" s="20" t="inlineStr">
        <is>
          <t>Troca/ajuste</t>
        </is>
      </c>
      <c r="P149" s="20" t="inlineStr">
        <is>
          <t>Troca/ajuste</t>
        </is>
      </c>
      <c r="Q149" s="20" t="n">
        <v>9</v>
      </c>
      <c r="R149" s="20" t="inlineStr">
        <is>
          <t>S-8deb5f, S-8ececc, S-151b22, S-5daabf</t>
        </is>
      </c>
      <c r="S149" s="20" t="inlineStr">
        <is>
          <t>S-151b22</t>
        </is>
      </c>
      <c r="T149" s="20" t="inlineStr">
        <is>
          <t>Plano abaixo</t>
        </is>
      </c>
      <c r="U149" s="20" t="inlineStr">
        <is>
          <t>Mudou para anual</t>
        </is>
      </c>
      <c r="V149" s="20" t="inlineStr">
        <is>
          <t>Mesmos seats</t>
        </is>
      </c>
      <c r="W149" s="20" t="inlineStr">
        <is>
          <t>Sim</t>
        </is>
      </c>
    </row>
    <row r="150">
      <c r="A150" s="20" t="inlineStr">
        <is>
          <t>S-eed91a</t>
        </is>
      </c>
      <c r="B150" s="20" t="inlineStr">
        <is>
          <t>A-22d9d2</t>
        </is>
      </c>
      <c r="C150" s="20" t="inlineStr">
        <is>
          <t>Rápida (&lt; 30 dias)</t>
        </is>
      </c>
      <c r="D150" s="20" t="inlineStr">
        <is>
          <t>Dez/24</t>
        </is>
      </c>
      <c r="E150" s="20" t="inlineStr">
        <is>
          <t>Não</t>
        </is>
      </c>
      <c r="F150" s="21" t="n">
        <v>45643</v>
      </c>
      <c r="G150" s="21" t="n">
        <v>45646</v>
      </c>
      <c r="H150" s="20" t="n">
        <v>3</v>
      </c>
      <c r="I150" s="20" t="inlineStr">
        <is>
          <t>Pro</t>
        </is>
      </c>
      <c r="J150" s="20" t="inlineStr">
        <is>
          <t>Mensal</t>
        </is>
      </c>
      <c r="K150" s="20" t="n">
        <v>32</v>
      </c>
      <c r="L150" s="20" t="inlineStr">
        <is>
          <t>21–40</t>
        </is>
      </c>
      <c r="M150" s="20" t="inlineStr">
        <is>
          <t>FR</t>
        </is>
      </c>
      <c r="N150" s="20" t="inlineStr">
        <is>
          <t>Redução</t>
        </is>
      </c>
      <c r="O150" s="20" t="inlineStr">
        <is>
          <t>Redução</t>
        </is>
      </c>
      <c r="P150" s="20" t="inlineStr">
        <is>
          <t>Redução</t>
        </is>
      </c>
      <c r="Q150" s="20" t="n">
        <v>11</v>
      </c>
      <c r="R150" s="20" t="inlineStr"/>
      <c r="S150" s="20" t="inlineStr"/>
      <c r="T150" s="20" t="inlineStr"/>
      <c r="U150" s="20" t="inlineStr"/>
      <c r="V150" s="20" t="inlineStr"/>
      <c r="W150" s="20" t="inlineStr">
        <is>
          <t>Não</t>
        </is>
      </c>
    </row>
    <row r="151">
      <c r="A151" s="20" t="inlineStr">
        <is>
          <t>S-8013f6</t>
        </is>
      </c>
      <c r="B151" s="20" t="inlineStr">
        <is>
          <t>A-6a7c9d</t>
        </is>
      </c>
      <c r="C151" s="20" t="inlineStr">
        <is>
          <t>Rápida (&lt; 30 dias)</t>
        </is>
      </c>
      <c r="D151" s="20" t="inlineStr">
        <is>
          <t>Dez/24</t>
        </is>
      </c>
      <c r="E151" s="20" t="inlineStr">
        <is>
          <t>Não</t>
        </is>
      </c>
      <c r="F151" s="21" t="n">
        <v>45637</v>
      </c>
      <c r="G151" s="21" t="n">
        <v>45646</v>
      </c>
      <c r="H151" s="20" t="n">
        <v>9</v>
      </c>
      <c r="I151" s="20" t="inlineStr">
        <is>
          <t>Basic</t>
        </is>
      </c>
      <c r="J151" s="20" t="inlineStr">
        <is>
          <t>Mensal</t>
        </is>
      </c>
      <c r="K151" s="20" t="n">
        <v>47</v>
      </c>
      <c r="L151" s="20" t="inlineStr">
        <is>
          <t>41–80</t>
        </is>
      </c>
      <c r="M151" s="20" t="inlineStr">
        <is>
          <t>US</t>
        </is>
      </c>
      <c r="N151" s="20" t="inlineStr">
        <is>
          <t>Troca/ajuste</t>
        </is>
      </c>
      <c r="O151" s="20" t="inlineStr">
        <is>
          <t>Redução</t>
        </is>
      </c>
      <c r="P151" s="20" t="inlineStr">
        <is>
          <t>Troca/ajuste</t>
        </is>
      </c>
      <c r="Q151" s="20" t="n">
        <v>3</v>
      </c>
      <c r="R151" s="20" t="inlineStr">
        <is>
          <t>S-c0820a</t>
        </is>
      </c>
      <c r="S151" s="20" t="inlineStr">
        <is>
          <t>S-c0820a</t>
        </is>
      </c>
      <c r="T151" s="20" t="inlineStr">
        <is>
          <t>Plano acima</t>
        </is>
      </c>
      <c r="U151" s="20" t="inlineStr">
        <is>
          <t>Mudou para anual</t>
        </is>
      </c>
      <c r="V151" s="20" t="inlineStr">
        <is>
          <t>Menos seats</t>
        </is>
      </c>
      <c r="W151" s="20" t="inlineStr">
        <is>
          <t>Sim</t>
        </is>
      </c>
    </row>
    <row r="152">
      <c r="A152" s="20" t="inlineStr">
        <is>
          <t>S-1f5faf</t>
        </is>
      </c>
      <c r="B152" s="20" t="inlineStr">
        <is>
          <t>A-34ea2f</t>
        </is>
      </c>
      <c r="C152" s="20" t="inlineStr">
        <is>
          <t>Lenta (30+ dias)</t>
        </is>
      </c>
      <c r="D152" s="20" t="inlineStr">
        <is>
          <t>Dez/24</t>
        </is>
      </c>
      <c r="E152" s="20" t="inlineStr">
        <is>
          <t>Não</t>
        </is>
      </c>
      <c r="F152" s="21" t="n">
        <v>45568</v>
      </c>
      <c r="G152" s="21" t="n">
        <v>45646</v>
      </c>
      <c r="H152" s="20" t="n">
        <v>78</v>
      </c>
      <c r="I152" s="20" t="inlineStr">
        <is>
          <t>Enterprise</t>
        </is>
      </c>
      <c r="J152" s="20" t="inlineStr">
        <is>
          <t>Mensal</t>
        </is>
      </c>
      <c r="K152" s="20" t="n">
        <v>8</v>
      </c>
      <c r="L152" s="20" t="inlineStr">
        <is>
          <t>06–10</t>
        </is>
      </c>
      <c r="M152" s="20" t="inlineStr">
        <is>
          <t>US</t>
        </is>
      </c>
      <c r="N152" s="20" t="inlineStr">
        <is>
          <t>Troca/ajuste</t>
        </is>
      </c>
      <c r="O152" s="20" t="inlineStr">
        <is>
          <t>Redução</t>
        </is>
      </c>
      <c r="P152" s="20" t="inlineStr">
        <is>
          <t>Troca/ajuste</t>
        </is>
      </c>
      <c r="Q152" s="20" t="n">
        <v>9</v>
      </c>
      <c r="R152" s="20" t="inlineStr">
        <is>
          <t>S-947b62</t>
        </is>
      </c>
      <c r="S152" s="20" t="inlineStr">
        <is>
          <t>S-947b62</t>
        </is>
      </c>
      <c r="T152" s="20" t="inlineStr">
        <is>
          <t>Mesmo plano</t>
        </is>
      </c>
      <c r="U152" s="20" t="inlineStr">
        <is>
          <t>Mudou para anual</t>
        </is>
      </c>
      <c r="V152" s="20" t="inlineStr">
        <is>
          <t>Mais seats</t>
        </is>
      </c>
      <c r="W152" s="20" t="inlineStr">
        <is>
          <t>Não</t>
        </is>
      </c>
    </row>
    <row r="153">
      <c r="A153" s="20" t="inlineStr">
        <is>
          <t>S-1b7677</t>
        </is>
      </c>
      <c r="B153" s="20" t="inlineStr">
        <is>
          <t>A-ced9aa</t>
        </is>
      </c>
      <c r="C153" s="20" t="inlineStr">
        <is>
          <t>Rápida (&lt; 30 dias)</t>
        </is>
      </c>
      <c r="D153" s="20" t="inlineStr">
        <is>
          <t>Dez/24</t>
        </is>
      </c>
      <c r="E153" s="20" t="inlineStr">
        <is>
          <t>Não</t>
        </is>
      </c>
      <c r="F153" s="21" t="n">
        <v>45630</v>
      </c>
      <c r="G153" s="21" t="n">
        <v>45646</v>
      </c>
      <c r="H153" s="20" t="n">
        <v>16</v>
      </c>
      <c r="I153" s="20" t="inlineStr">
        <is>
          <t>Enterprise</t>
        </is>
      </c>
      <c r="J153" s="20" t="inlineStr">
        <is>
          <t>Anual</t>
        </is>
      </c>
      <c r="K153" s="20" t="n">
        <v>6</v>
      </c>
      <c r="L153" s="20" t="inlineStr">
        <is>
          <t>06–10</t>
        </is>
      </c>
      <c r="M153" s="20" t="inlineStr">
        <is>
          <t>US</t>
        </is>
      </c>
      <c r="N153" s="20" t="inlineStr">
        <is>
          <t>Troca/ajuste</t>
        </is>
      </c>
      <c r="O153" s="20" t="inlineStr">
        <is>
          <t>Troca/ajuste</t>
        </is>
      </c>
      <c r="P153" s="20" t="inlineStr">
        <is>
          <t>Troca/ajuste</t>
        </is>
      </c>
      <c r="Q153" s="20" t="n">
        <v>7</v>
      </c>
      <c r="R153" s="20" t="inlineStr">
        <is>
          <t>S-c4a98e, S-b4b084</t>
        </is>
      </c>
      <c r="S153" s="20" t="inlineStr">
        <is>
          <t>S-b4b084</t>
        </is>
      </c>
      <c r="T153" s="20" t="inlineStr">
        <is>
          <t>Mesmo plano</t>
        </is>
      </c>
      <c r="U153" s="20" t="inlineStr">
        <is>
          <t>Mudou para mensal</t>
        </is>
      </c>
      <c r="V153" s="20" t="inlineStr">
        <is>
          <t>Menos seats</t>
        </is>
      </c>
      <c r="W153" s="20" t="inlineStr">
        <is>
          <t>Não</t>
        </is>
      </c>
    </row>
    <row r="154">
      <c r="A154" s="20" t="inlineStr">
        <is>
          <t>S-8cb02e</t>
        </is>
      </c>
      <c r="B154" s="20" t="inlineStr">
        <is>
          <t>A-de24d5</t>
        </is>
      </c>
      <c r="C154" s="20" t="inlineStr">
        <is>
          <t>Rápida (&lt; 30 dias)</t>
        </is>
      </c>
      <c r="D154" s="20" t="inlineStr">
        <is>
          <t>Dez/24</t>
        </is>
      </c>
      <c r="E154" s="20" t="inlineStr">
        <is>
          <t>Não</t>
        </is>
      </c>
      <c r="F154" s="21" t="n">
        <v>45635</v>
      </c>
      <c r="G154" s="21" t="n">
        <v>45647</v>
      </c>
      <c r="H154" s="20" t="n">
        <v>12</v>
      </c>
      <c r="I154" s="20" t="inlineStr">
        <is>
          <t>Pro</t>
        </is>
      </c>
      <c r="J154" s="20" t="inlineStr">
        <is>
          <t>Anual</t>
        </is>
      </c>
      <c r="K154" s="20" t="n">
        <v>77</v>
      </c>
      <c r="L154" s="20" t="inlineStr">
        <is>
          <t>41–80</t>
        </is>
      </c>
      <c r="M154" s="20" t="inlineStr">
        <is>
          <t>US</t>
        </is>
      </c>
      <c r="N154" s="20" t="inlineStr">
        <is>
          <t>Troca/ajuste</t>
        </is>
      </c>
      <c r="O154" s="20" t="inlineStr">
        <is>
          <t>Troca/ajuste</t>
        </is>
      </c>
      <c r="P154" s="20" t="inlineStr">
        <is>
          <t>Troca/ajuste</t>
        </is>
      </c>
      <c r="Q154" s="20" t="n">
        <v>10</v>
      </c>
      <c r="R154" s="20" t="inlineStr">
        <is>
          <t>S-6c9dc9, S-c98905, S-972512, S-3663bb, S-25270a</t>
        </is>
      </c>
      <c r="S154" s="20" t="inlineStr">
        <is>
          <t>S-3663bb</t>
        </is>
      </c>
      <c r="T154" s="20" t="inlineStr">
        <is>
          <t>Plano acima</t>
        </is>
      </c>
      <c r="U154" s="20" t="inlineStr">
        <is>
          <t>Mudou para mensal</t>
        </is>
      </c>
      <c r="V154" s="20" t="inlineStr">
        <is>
          <t>Menos seats</t>
        </is>
      </c>
      <c r="W154" s="20" t="inlineStr">
        <is>
          <t>Não</t>
        </is>
      </c>
    </row>
    <row r="155">
      <c r="A155" s="20" t="inlineStr">
        <is>
          <t>S-dfaf24</t>
        </is>
      </c>
      <c r="B155" s="20" t="inlineStr">
        <is>
          <t>A-970c97</t>
        </is>
      </c>
      <c r="C155" s="20" t="inlineStr">
        <is>
          <t>Rápida (&lt; 30 dias)</t>
        </is>
      </c>
      <c r="D155" s="20" t="inlineStr">
        <is>
          <t>Dez/24</t>
        </is>
      </c>
      <c r="E155" s="20" t="inlineStr">
        <is>
          <t>Não</t>
        </is>
      </c>
      <c r="F155" s="21" t="n">
        <v>45641</v>
      </c>
      <c r="G155" s="21" t="n">
        <v>45647</v>
      </c>
      <c r="H155" s="20" t="n">
        <v>6</v>
      </c>
      <c r="I155" s="20" t="inlineStr">
        <is>
          <t>Basic</t>
        </is>
      </c>
      <c r="J155" s="20" t="inlineStr">
        <is>
          <t>Anual</t>
        </is>
      </c>
      <c r="K155" s="20" t="n">
        <v>27</v>
      </c>
      <c r="L155" s="20" t="inlineStr">
        <is>
          <t>21–40</t>
        </is>
      </c>
      <c r="M155" s="20" t="inlineStr">
        <is>
          <t>DE</t>
        </is>
      </c>
      <c r="N155" s="20" t="inlineStr">
        <is>
          <t>Troca/ajuste</t>
        </is>
      </c>
      <c r="O155" s="20" t="inlineStr">
        <is>
          <t>Redução</t>
        </is>
      </c>
      <c r="P155" s="20" t="inlineStr">
        <is>
          <t>Troca/ajuste</t>
        </is>
      </c>
      <c r="Q155" s="20" t="n">
        <v>7</v>
      </c>
      <c r="R155" s="20" t="inlineStr">
        <is>
          <t>S-ccdc31</t>
        </is>
      </c>
      <c r="S155" s="20" t="inlineStr">
        <is>
          <t>S-ccdc31</t>
        </is>
      </c>
      <c r="T155" s="20" t="inlineStr">
        <is>
          <t>Plano acima</t>
        </is>
      </c>
      <c r="U155" s="20" t="inlineStr">
        <is>
          <t>Mesma cobrança</t>
        </is>
      </c>
      <c r="V155" s="20" t="inlineStr">
        <is>
          <t>Menos seats</t>
        </is>
      </c>
      <c r="W155" s="20" t="inlineStr">
        <is>
          <t>Não</t>
        </is>
      </c>
    </row>
    <row r="156">
      <c r="A156" s="20" t="inlineStr">
        <is>
          <t>S-342708</t>
        </is>
      </c>
      <c r="B156" s="20" t="inlineStr">
        <is>
          <t>A-ffc04f</t>
        </is>
      </c>
      <c r="C156" s="20" t="inlineStr">
        <is>
          <t>Rápida (&lt; 30 dias)</t>
        </is>
      </c>
      <c r="D156" s="20" t="inlineStr">
        <is>
          <t>Dez/24</t>
        </is>
      </c>
      <c r="E156" s="20" t="inlineStr">
        <is>
          <t>Não</t>
        </is>
      </c>
      <c r="F156" s="21" t="n">
        <v>45626</v>
      </c>
      <c r="G156" s="21" t="n">
        <v>45647</v>
      </c>
      <c r="H156" s="20" t="n">
        <v>21</v>
      </c>
      <c r="I156" s="20" t="inlineStr">
        <is>
          <t>Pro</t>
        </is>
      </c>
      <c r="J156" s="20" t="inlineStr">
        <is>
          <t>Anual</t>
        </is>
      </c>
      <c r="K156" s="20" t="n">
        <v>41</v>
      </c>
      <c r="L156" s="20" t="inlineStr">
        <is>
          <t>41–80</t>
        </is>
      </c>
      <c r="M156" s="20" t="inlineStr">
        <is>
          <t>US</t>
        </is>
      </c>
      <c r="N156" s="20" t="inlineStr">
        <is>
          <t>Troca/ajuste</t>
        </is>
      </c>
      <c r="O156" s="20" t="inlineStr">
        <is>
          <t>Troca/ajuste</t>
        </is>
      </c>
      <c r="P156" s="20" t="inlineStr">
        <is>
          <t>Troca/ajuste</t>
        </is>
      </c>
      <c r="Q156" s="20" t="n">
        <v>12</v>
      </c>
      <c r="R156" s="20" t="inlineStr">
        <is>
          <t>S-e27a20, S-bd3e24</t>
        </is>
      </c>
      <c r="S156" s="20" t="inlineStr">
        <is>
          <t>S-bd3e24</t>
        </is>
      </c>
      <c r="T156" s="20" t="inlineStr">
        <is>
          <t>Mesmo plano</t>
        </is>
      </c>
      <c r="U156" s="20" t="inlineStr">
        <is>
          <t>Mesma cobrança</t>
        </is>
      </c>
      <c r="V156" s="20" t="inlineStr">
        <is>
          <t>Menos seats</t>
        </is>
      </c>
      <c r="W156" s="20" t="inlineStr">
        <is>
          <t>Não</t>
        </is>
      </c>
    </row>
    <row r="157">
      <c r="A157" s="20" t="inlineStr">
        <is>
          <t>S-02be35</t>
        </is>
      </c>
      <c r="B157" s="20" t="inlineStr">
        <is>
          <t>A-e08cd3</t>
        </is>
      </c>
      <c r="C157" s="20" t="inlineStr">
        <is>
          <t>Lenta (30+ dias)</t>
        </is>
      </c>
      <c r="D157" s="20" t="inlineStr">
        <is>
          <t>Dez/24</t>
        </is>
      </c>
      <c r="E157" s="20" t="inlineStr">
        <is>
          <t>Não</t>
        </is>
      </c>
      <c r="F157" s="21" t="n">
        <v>45566</v>
      </c>
      <c r="G157" s="21" t="n">
        <v>45647</v>
      </c>
      <c r="H157" s="20" t="n">
        <v>81</v>
      </c>
      <c r="I157" s="20" t="inlineStr">
        <is>
          <t>Pro</t>
        </is>
      </c>
      <c r="J157" s="20" t="inlineStr">
        <is>
          <t>Mensal</t>
        </is>
      </c>
      <c r="K157" s="20" t="n">
        <v>67</v>
      </c>
      <c r="L157" s="20" t="inlineStr">
        <is>
          <t>41–80</t>
        </is>
      </c>
      <c r="M157" s="20" t="inlineStr">
        <is>
          <t>US</t>
        </is>
      </c>
      <c r="N157" s="20" t="inlineStr">
        <is>
          <t>Troca/ajuste</t>
        </is>
      </c>
      <c r="O157" s="20" t="inlineStr">
        <is>
          <t>Redução</t>
        </is>
      </c>
      <c r="P157" s="20" t="inlineStr">
        <is>
          <t>Troca/ajuste</t>
        </is>
      </c>
      <c r="Q157" s="20" t="n">
        <v>9</v>
      </c>
      <c r="R157" s="20" t="inlineStr">
        <is>
          <t>S-384681, S-3a2aee</t>
        </is>
      </c>
      <c r="S157" s="20" t="inlineStr">
        <is>
          <t>S-384681</t>
        </is>
      </c>
      <c r="T157" s="20" t="inlineStr">
        <is>
          <t>Plano abaixo</t>
        </is>
      </c>
      <c r="U157" s="20" t="inlineStr">
        <is>
          <t>Mudou para anual</t>
        </is>
      </c>
      <c r="V157" s="20" t="inlineStr">
        <is>
          <t>Mesmos seats</t>
        </is>
      </c>
      <c r="W157" s="20" t="inlineStr">
        <is>
          <t>Sim</t>
        </is>
      </c>
    </row>
    <row r="158">
      <c r="A158" s="20" t="inlineStr">
        <is>
          <t>S-bd3e24</t>
        </is>
      </c>
      <c r="B158" s="20" t="inlineStr">
        <is>
          <t>A-ffc04f</t>
        </is>
      </c>
      <c r="C158" s="20" t="inlineStr">
        <is>
          <t>Rápida (&lt; 30 dias)</t>
        </is>
      </c>
      <c r="D158" s="20" t="inlineStr">
        <is>
          <t>Dez/24</t>
        </is>
      </c>
      <c r="E158" s="20" t="inlineStr">
        <is>
          <t>Não</t>
        </is>
      </c>
      <c r="F158" s="21" t="n">
        <v>45647</v>
      </c>
      <c r="G158" s="21" t="n">
        <v>45647</v>
      </c>
      <c r="H158" s="20" t="n">
        <v>0</v>
      </c>
      <c r="I158" s="20" t="inlineStr">
        <is>
          <t>Pro</t>
        </is>
      </c>
      <c r="J158" s="20" t="inlineStr">
        <is>
          <t>Anual</t>
        </is>
      </c>
      <c r="K158" s="20" t="n">
        <v>13</v>
      </c>
      <c r="L158" s="20" t="inlineStr">
        <is>
          <t>11–20</t>
        </is>
      </c>
      <c r="M158" s="20" t="inlineStr">
        <is>
          <t>US</t>
        </is>
      </c>
      <c r="N158" s="20" t="inlineStr">
        <is>
          <t>Troca/ajuste</t>
        </is>
      </c>
      <c r="O158" s="20" t="inlineStr">
        <is>
          <t>Redução</t>
        </is>
      </c>
      <c r="P158" s="20" t="inlineStr">
        <is>
          <t>Troca/ajuste</t>
        </is>
      </c>
      <c r="Q158" s="20" t="n">
        <v>12</v>
      </c>
      <c r="R158" s="20" t="inlineStr">
        <is>
          <t>S-e27a20</t>
        </is>
      </c>
      <c r="S158" s="20" t="inlineStr">
        <is>
          <t>S-e27a20</t>
        </is>
      </c>
      <c r="T158" s="20" t="inlineStr">
        <is>
          <t>Plano abaixo</t>
        </is>
      </c>
      <c r="U158" s="20" t="inlineStr">
        <is>
          <t>Mudou para mensal</t>
        </is>
      </c>
      <c r="V158" s="20" t="inlineStr">
        <is>
          <t>Mesmos seats</t>
        </is>
      </c>
      <c r="W158" s="20" t="inlineStr">
        <is>
          <t>Não</t>
        </is>
      </c>
    </row>
    <row r="159">
      <c r="A159" s="20" t="inlineStr">
        <is>
          <t>S-9b12da</t>
        </is>
      </c>
      <c r="B159" s="20" t="inlineStr">
        <is>
          <t>A-702032</t>
        </is>
      </c>
      <c r="C159" s="20" t="inlineStr">
        <is>
          <t>Rápida (&lt; 30 dias)</t>
        </is>
      </c>
      <c r="D159" s="20" t="inlineStr">
        <is>
          <t>Dez/24</t>
        </is>
      </c>
      <c r="E159" s="20" t="inlineStr">
        <is>
          <t>Não</t>
        </is>
      </c>
      <c r="F159" s="21" t="n">
        <v>45639</v>
      </c>
      <c r="G159" s="21" t="n">
        <v>45647</v>
      </c>
      <c r="H159" s="20" t="n">
        <v>8</v>
      </c>
      <c r="I159" s="20" t="inlineStr">
        <is>
          <t>Pro</t>
        </is>
      </c>
      <c r="J159" s="20" t="inlineStr">
        <is>
          <t>Anual</t>
        </is>
      </c>
      <c r="K159" s="20" t="n">
        <v>28</v>
      </c>
      <c r="L159" s="20" t="inlineStr">
        <is>
          <t>21–40</t>
        </is>
      </c>
      <c r="M159" s="20" t="inlineStr">
        <is>
          <t>US</t>
        </is>
      </c>
      <c r="N159" s="20" t="inlineStr">
        <is>
          <t>Redução</t>
        </is>
      </c>
      <c r="O159" s="20" t="inlineStr">
        <is>
          <t>Redução</t>
        </is>
      </c>
      <c r="P159" s="20" t="inlineStr">
        <is>
          <t>Troca/ajuste</t>
        </is>
      </c>
      <c r="Q159" s="20" t="n">
        <v>4</v>
      </c>
      <c r="R159" s="20" t="inlineStr"/>
      <c r="S159" s="20" t="inlineStr"/>
      <c r="T159" s="20" t="inlineStr"/>
      <c r="U159" s="20" t="inlineStr"/>
      <c r="V159" s="20" t="inlineStr"/>
      <c r="W159" s="20" t="inlineStr">
        <is>
          <t>Não</t>
        </is>
      </c>
    </row>
    <row r="160">
      <c r="A160" s="20" t="inlineStr">
        <is>
          <t>S-0abd10</t>
        </is>
      </c>
      <c r="B160" s="20" t="inlineStr">
        <is>
          <t>A-016043</t>
        </is>
      </c>
      <c r="C160" s="20" t="inlineStr">
        <is>
          <t>Rápida (&lt; 30 dias)</t>
        </is>
      </c>
      <c r="D160" s="20" t="inlineStr">
        <is>
          <t>Dez/24</t>
        </is>
      </c>
      <c r="E160" s="20" t="inlineStr">
        <is>
          <t>Não</t>
        </is>
      </c>
      <c r="F160" s="21" t="n">
        <v>45619</v>
      </c>
      <c r="G160" s="21" t="n">
        <v>45647</v>
      </c>
      <c r="H160" s="20" t="n">
        <v>28</v>
      </c>
      <c r="I160" s="20" t="inlineStr">
        <is>
          <t>Enterprise</t>
        </is>
      </c>
      <c r="J160" s="20" t="inlineStr">
        <is>
          <t>Anual</t>
        </is>
      </c>
      <c r="K160" s="20" t="n">
        <v>24</v>
      </c>
      <c r="L160" s="20" t="inlineStr">
        <is>
          <t>21–40</t>
        </is>
      </c>
      <c r="M160" s="20" t="inlineStr">
        <is>
          <t>CA</t>
        </is>
      </c>
      <c r="N160" s="20" t="inlineStr">
        <is>
          <t>Redução</t>
        </is>
      </c>
      <c r="O160" s="20" t="inlineStr">
        <is>
          <t>Redução</t>
        </is>
      </c>
      <c r="P160" s="20" t="inlineStr">
        <is>
          <t>Redução</t>
        </is>
      </c>
      <c r="Q160" s="20" t="n">
        <v>10</v>
      </c>
      <c r="R160" s="20" t="inlineStr"/>
      <c r="S160" s="20" t="inlineStr"/>
      <c r="T160" s="20" t="inlineStr"/>
      <c r="U160" s="20" t="inlineStr"/>
      <c r="V160" s="20" t="inlineStr"/>
      <c r="W160" s="20" t="inlineStr">
        <is>
          <t>Não</t>
        </is>
      </c>
    </row>
    <row r="161">
      <c r="A161" s="20" t="inlineStr">
        <is>
          <t>S-df5924</t>
        </is>
      </c>
      <c r="B161" s="20" t="inlineStr">
        <is>
          <t>A-443f6f</t>
        </is>
      </c>
      <c r="C161" s="20" t="inlineStr">
        <is>
          <t>Rápida (&lt; 30 dias)</t>
        </is>
      </c>
      <c r="D161" s="20" t="inlineStr">
        <is>
          <t>Dez/24</t>
        </is>
      </c>
      <c r="E161" s="20" t="inlineStr">
        <is>
          <t>Não</t>
        </is>
      </c>
      <c r="F161" s="21" t="n">
        <v>45647</v>
      </c>
      <c r="G161" s="21" t="n">
        <v>45648</v>
      </c>
      <c r="H161" s="20" t="n">
        <v>1</v>
      </c>
      <c r="I161" s="20" t="inlineStr">
        <is>
          <t>Pro</t>
        </is>
      </c>
      <c r="J161" s="20" t="inlineStr">
        <is>
          <t>Anual</t>
        </is>
      </c>
      <c r="K161" s="20" t="n">
        <v>19</v>
      </c>
      <c r="L161" s="20" t="inlineStr">
        <is>
          <t>11–20</t>
        </is>
      </c>
      <c r="M161" s="20" t="inlineStr">
        <is>
          <t>US</t>
        </is>
      </c>
      <c r="N161" s="20" t="inlineStr">
        <is>
          <t>Troca/ajuste</t>
        </is>
      </c>
      <c r="O161" s="20" t="inlineStr">
        <is>
          <t>Troca/ajuste</t>
        </is>
      </c>
      <c r="P161" s="20" t="inlineStr">
        <is>
          <t>Troca/ajuste</t>
        </is>
      </c>
      <c r="Q161" s="20" t="n">
        <v>5</v>
      </c>
      <c r="R161" s="20" t="inlineStr">
        <is>
          <t>S-9c2b8e, S-e86a94, S-c6ff41, S-869978, S-42822d</t>
        </is>
      </c>
      <c r="S161" s="20" t="inlineStr">
        <is>
          <t>S-869978</t>
        </is>
      </c>
      <c r="T161" s="20" t="inlineStr">
        <is>
          <t>Plano acima</t>
        </is>
      </c>
      <c r="U161" s="20" t="inlineStr">
        <is>
          <t>Mudou para mensal</t>
        </is>
      </c>
      <c r="V161" s="20" t="inlineStr">
        <is>
          <t>Mesmos seats</t>
        </is>
      </c>
      <c r="W161" s="20" t="inlineStr">
        <is>
          <t>Não</t>
        </is>
      </c>
    </row>
    <row r="162">
      <c r="A162" s="20" t="inlineStr">
        <is>
          <t>S-79ab7e</t>
        </is>
      </c>
      <c r="B162" s="20" t="inlineStr">
        <is>
          <t>A-956988</t>
        </is>
      </c>
      <c r="C162" s="20" t="inlineStr">
        <is>
          <t>Rápida (&lt; 30 dias)</t>
        </is>
      </c>
      <c r="D162" s="20" t="inlineStr">
        <is>
          <t>Dez/24</t>
        </is>
      </c>
      <c r="E162" s="20" t="inlineStr">
        <is>
          <t>Não</t>
        </is>
      </c>
      <c r="F162" s="21" t="n">
        <v>45639</v>
      </c>
      <c r="G162" s="21" t="n">
        <v>45648</v>
      </c>
      <c r="H162" s="20" t="n">
        <v>9</v>
      </c>
      <c r="I162" s="20" t="inlineStr">
        <is>
          <t>Enterprise</t>
        </is>
      </c>
      <c r="J162" s="20" t="inlineStr">
        <is>
          <t>Mensal</t>
        </is>
      </c>
      <c r="K162" s="20" t="n">
        <v>72</v>
      </c>
      <c r="L162" s="20" t="inlineStr">
        <is>
          <t>41–80</t>
        </is>
      </c>
      <c r="M162" s="20" t="inlineStr">
        <is>
          <t>UK</t>
        </is>
      </c>
      <c r="N162" s="20" t="inlineStr">
        <is>
          <t>Troca/ajuste</t>
        </is>
      </c>
      <c r="O162" s="20" t="inlineStr">
        <is>
          <t>Redução</t>
        </is>
      </c>
      <c r="P162" s="20" t="inlineStr">
        <is>
          <t>Troca/ajuste</t>
        </is>
      </c>
      <c r="Q162" s="20" t="n">
        <v>10</v>
      </c>
      <c r="R162" s="20" t="inlineStr">
        <is>
          <t>S-13dfe7, S-226cf3, S-e195f5, S-c5e371, S-5d0f41</t>
        </is>
      </c>
      <c r="S162" s="20" t="inlineStr">
        <is>
          <t>S-226cf3</t>
        </is>
      </c>
      <c r="T162" s="20" t="inlineStr">
        <is>
          <t>Plano abaixo</t>
        </is>
      </c>
      <c r="U162" s="20" t="inlineStr">
        <is>
          <t>Mesma cobrança</t>
        </is>
      </c>
      <c r="V162" s="20" t="inlineStr">
        <is>
          <t>Menos seats</t>
        </is>
      </c>
      <c r="W162" s="20" t="inlineStr">
        <is>
          <t>Sim</t>
        </is>
      </c>
    </row>
    <row r="163">
      <c r="A163" s="20" t="inlineStr">
        <is>
          <t>S-ff9bde</t>
        </is>
      </c>
      <c r="B163" s="20" t="inlineStr">
        <is>
          <t>A-8bde0c</t>
        </is>
      </c>
      <c r="C163" s="20" t="inlineStr">
        <is>
          <t>Rápida (&lt; 30 dias)</t>
        </is>
      </c>
      <c r="D163" s="20" t="inlineStr">
        <is>
          <t>Dez/24</t>
        </is>
      </c>
      <c r="E163" s="20" t="inlineStr">
        <is>
          <t>Não</t>
        </is>
      </c>
      <c r="F163" s="21" t="n">
        <v>45646</v>
      </c>
      <c r="G163" s="21" t="n">
        <v>45648</v>
      </c>
      <c r="H163" s="20" t="n">
        <v>2</v>
      </c>
      <c r="I163" s="20" t="inlineStr">
        <is>
          <t>Pro</t>
        </is>
      </c>
      <c r="J163" s="20" t="inlineStr">
        <is>
          <t>Mensal</t>
        </is>
      </c>
      <c r="K163" s="20" t="n">
        <v>12</v>
      </c>
      <c r="L163" s="20" t="inlineStr">
        <is>
          <t>11–20</t>
        </is>
      </c>
      <c r="M163" s="20" t="inlineStr">
        <is>
          <t>US</t>
        </is>
      </c>
      <c r="N163" s="20" t="inlineStr">
        <is>
          <t>Troca/ajuste</t>
        </is>
      </c>
      <c r="O163" s="20" t="inlineStr">
        <is>
          <t>Troca/ajuste</t>
        </is>
      </c>
      <c r="P163" s="20" t="inlineStr">
        <is>
          <t>Troca/ajuste</t>
        </is>
      </c>
      <c r="Q163" s="20" t="n">
        <v>12</v>
      </c>
      <c r="R163" s="20" t="inlineStr">
        <is>
          <t>S-f6e14c, S-859ee0, S-937207, S-b112eb, S-13a013, S-129a62, S-cfd4a3, S-a61006, S-dda681, S-4c6ee1, S-4fe9b6</t>
        </is>
      </c>
      <c r="S163" s="20" t="inlineStr">
        <is>
          <t>S-cfd4a3</t>
        </is>
      </c>
      <c r="T163" s="20" t="inlineStr">
        <is>
          <t>Mesmo plano</t>
        </is>
      </c>
      <c r="U163" s="20" t="inlineStr">
        <is>
          <t>Mudou para anual</t>
        </is>
      </c>
      <c r="V163" s="20" t="inlineStr">
        <is>
          <t>Mais seats</t>
        </is>
      </c>
      <c r="W163" s="20" t="inlineStr">
        <is>
          <t>Sim</t>
        </is>
      </c>
    </row>
    <row r="164">
      <c r="A164" s="20" t="inlineStr">
        <is>
          <t>S-326691</t>
        </is>
      </c>
      <c r="B164" s="20" t="inlineStr">
        <is>
          <t>A-e40f45</t>
        </is>
      </c>
      <c r="C164" s="20" t="inlineStr">
        <is>
          <t>Rápida (&lt; 30 dias)</t>
        </is>
      </c>
      <c r="D164" s="20" t="inlineStr">
        <is>
          <t>Dez/24</t>
        </is>
      </c>
      <c r="E164" s="20" t="inlineStr">
        <is>
          <t>Não</t>
        </is>
      </c>
      <c r="F164" s="21" t="n">
        <v>45620</v>
      </c>
      <c r="G164" s="21" t="n">
        <v>45648</v>
      </c>
      <c r="H164" s="20" t="n">
        <v>28</v>
      </c>
      <c r="I164" s="20" t="inlineStr">
        <is>
          <t>Basic</t>
        </is>
      </c>
      <c r="J164" s="20" t="inlineStr">
        <is>
          <t>Mensal</t>
        </is>
      </c>
      <c r="K164" s="20" t="n">
        <v>21</v>
      </c>
      <c r="L164" s="20" t="inlineStr">
        <is>
          <t>21–40</t>
        </is>
      </c>
      <c r="M164" s="20" t="inlineStr">
        <is>
          <t>US</t>
        </is>
      </c>
      <c r="N164" s="20" t="inlineStr">
        <is>
          <t>Redução</t>
        </is>
      </c>
      <c r="O164" s="20" t="inlineStr">
        <is>
          <t>Redução</t>
        </is>
      </c>
      <c r="P164" s="20" t="inlineStr">
        <is>
          <t>Redução</t>
        </is>
      </c>
      <c r="Q164" s="20" t="n">
        <v>6</v>
      </c>
      <c r="R164" s="20" t="inlineStr"/>
      <c r="S164" s="20" t="inlineStr"/>
      <c r="T164" s="20" t="inlineStr"/>
      <c r="U164" s="20" t="inlineStr"/>
      <c r="V164" s="20" t="inlineStr"/>
      <c r="W164" s="20" t="inlineStr">
        <is>
          <t>Sim</t>
        </is>
      </c>
    </row>
    <row r="165">
      <c r="A165" s="20" t="inlineStr">
        <is>
          <t>S-feea3a</t>
        </is>
      </c>
      <c r="B165" s="20" t="inlineStr">
        <is>
          <t>A-82d8a6</t>
        </is>
      </c>
      <c r="C165" s="20" t="inlineStr">
        <is>
          <t>Rápida (&lt; 30 dias)</t>
        </is>
      </c>
      <c r="D165" s="20" t="inlineStr">
        <is>
          <t>Dez/24</t>
        </is>
      </c>
      <c r="E165" s="20" t="inlineStr">
        <is>
          <t>Não</t>
        </is>
      </c>
      <c r="F165" s="21" t="n">
        <v>45643</v>
      </c>
      <c r="G165" s="21" t="n">
        <v>45648</v>
      </c>
      <c r="H165" s="20" t="n">
        <v>5</v>
      </c>
      <c r="I165" s="20" t="inlineStr">
        <is>
          <t>Basic</t>
        </is>
      </c>
      <c r="J165" s="20" t="inlineStr">
        <is>
          <t>Mensal</t>
        </is>
      </c>
      <c r="K165" s="20" t="n">
        <v>5</v>
      </c>
      <c r="L165" s="20" t="inlineStr">
        <is>
          <t>01–05</t>
        </is>
      </c>
      <c r="M165" s="20" t="inlineStr">
        <is>
          <t>UK</t>
        </is>
      </c>
      <c r="N165" s="20" t="inlineStr">
        <is>
          <t>Troca/ajuste</t>
        </is>
      </c>
      <c r="O165" s="20" t="inlineStr">
        <is>
          <t>Troca/ajuste</t>
        </is>
      </c>
      <c r="P165" s="20" t="inlineStr">
        <is>
          <t>Troca/ajuste</t>
        </is>
      </c>
      <c r="Q165" s="20" t="n">
        <v>11</v>
      </c>
      <c r="R165" s="20" t="inlineStr">
        <is>
          <t>S-44fba6, S-51b668, S-6d3f0b, S-fb285f, S-2f11bb, S-c3b622, S-c15f06, S-a7ad50, S-8442d1</t>
        </is>
      </c>
      <c r="S165" s="20" t="inlineStr">
        <is>
          <t>S-44fba6</t>
        </is>
      </c>
      <c r="T165" s="20" t="inlineStr">
        <is>
          <t>Plano acima</t>
        </is>
      </c>
      <c r="U165" s="20" t="inlineStr">
        <is>
          <t>Mudou para anual</t>
        </is>
      </c>
      <c r="V165" s="20" t="inlineStr">
        <is>
          <t>Mais seats</t>
        </is>
      </c>
      <c r="W165" s="20" t="inlineStr">
        <is>
          <t>Sim</t>
        </is>
      </c>
    </row>
    <row r="166">
      <c r="A166" s="20" t="inlineStr">
        <is>
          <t>S-d90f5e</t>
        </is>
      </c>
      <c r="B166" s="20" t="inlineStr">
        <is>
          <t>A-bd4513</t>
        </is>
      </c>
      <c r="C166" s="20" t="inlineStr">
        <is>
          <t>Rápida (&lt; 30 dias)</t>
        </is>
      </c>
      <c r="D166" s="20" t="inlineStr">
        <is>
          <t>Dez/24</t>
        </is>
      </c>
      <c r="E166" s="20" t="inlineStr">
        <is>
          <t>Não</t>
        </is>
      </c>
      <c r="F166" s="21" t="n">
        <v>45641</v>
      </c>
      <c r="G166" s="21" t="n">
        <v>45648</v>
      </c>
      <c r="H166" s="20" t="n">
        <v>7</v>
      </c>
      <c r="I166" s="20" t="inlineStr">
        <is>
          <t>Basic</t>
        </is>
      </c>
      <c r="J166" s="20" t="inlineStr">
        <is>
          <t>Anual</t>
        </is>
      </c>
      <c r="K166" s="20" t="n">
        <v>50</v>
      </c>
      <c r="L166" s="20" t="inlineStr">
        <is>
          <t>41–80</t>
        </is>
      </c>
      <c r="M166" s="20" t="inlineStr">
        <is>
          <t>AU</t>
        </is>
      </c>
      <c r="N166" s="20" t="inlineStr">
        <is>
          <t>Troca/ajuste</t>
        </is>
      </c>
      <c r="O166" s="20" t="inlineStr">
        <is>
          <t>Troca/ajuste</t>
        </is>
      </c>
      <c r="P166" s="20" t="inlineStr">
        <is>
          <t>Troca/ajuste</t>
        </is>
      </c>
      <c r="Q166" s="20" t="n">
        <v>9</v>
      </c>
      <c r="R166" s="20" t="inlineStr">
        <is>
          <t>S-ed9451, S-9c19fe</t>
        </is>
      </c>
      <c r="S166" s="20" t="inlineStr">
        <is>
          <t>S-9c19fe</t>
        </is>
      </c>
      <c r="T166" s="20" t="inlineStr">
        <is>
          <t>Plano acima</t>
        </is>
      </c>
      <c r="U166" s="20" t="inlineStr">
        <is>
          <t>Mudou para mensal</t>
        </is>
      </c>
      <c r="V166" s="20" t="inlineStr">
        <is>
          <t>Mesmos seats</t>
        </is>
      </c>
      <c r="W166" s="20" t="inlineStr">
        <is>
          <t>Sim</t>
        </is>
      </c>
    </row>
    <row r="167">
      <c r="A167" s="20" t="inlineStr">
        <is>
          <t>S-d44088</t>
        </is>
      </c>
      <c r="B167" s="20" t="inlineStr">
        <is>
          <t>A-0651a4</t>
        </is>
      </c>
      <c r="C167" s="20" t="inlineStr">
        <is>
          <t>Rápida (&lt; 30 dias)</t>
        </is>
      </c>
      <c r="D167" s="20" t="inlineStr">
        <is>
          <t>Dez/24</t>
        </is>
      </c>
      <c r="E167" s="20" t="inlineStr">
        <is>
          <t>Não</t>
        </is>
      </c>
      <c r="F167" s="21" t="n">
        <v>45647</v>
      </c>
      <c r="G167" s="21" t="n">
        <v>45649</v>
      </c>
      <c r="H167" s="20" t="n">
        <v>2</v>
      </c>
      <c r="I167" s="20" t="inlineStr">
        <is>
          <t>Pro</t>
        </is>
      </c>
      <c r="J167" s="20" t="inlineStr">
        <is>
          <t>Anual</t>
        </is>
      </c>
      <c r="K167" s="20" t="n">
        <v>16</v>
      </c>
      <c r="L167" s="20" t="inlineStr">
        <is>
          <t>11–20</t>
        </is>
      </c>
      <c r="M167" s="20" t="inlineStr">
        <is>
          <t>FR</t>
        </is>
      </c>
      <c r="N167" s="20" t="inlineStr">
        <is>
          <t>Troca/ajuste</t>
        </is>
      </c>
      <c r="O167" s="20" t="inlineStr">
        <is>
          <t>Troca/ajuste</t>
        </is>
      </c>
      <c r="P167" s="20" t="inlineStr">
        <is>
          <t>Troca/ajuste</t>
        </is>
      </c>
      <c r="Q167" s="20" t="n">
        <v>13</v>
      </c>
      <c r="R167" s="20" t="inlineStr">
        <is>
          <t>S-8c10c1, S-e62fc9, S-8ea942</t>
        </is>
      </c>
      <c r="S167" s="20" t="inlineStr">
        <is>
          <t>S-e62fc9</t>
        </is>
      </c>
      <c r="T167" s="20" t="inlineStr">
        <is>
          <t>Mesmo plano</t>
        </is>
      </c>
      <c r="U167" s="20" t="inlineStr">
        <is>
          <t>Mudou para mensal</t>
        </is>
      </c>
      <c r="V167" s="20" t="inlineStr">
        <is>
          <t>Mesmos seats</t>
        </is>
      </c>
      <c r="W167" s="20" t="inlineStr">
        <is>
          <t>Sim</t>
        </is>
      </c>
    </row>
    <row r="168">
      <c r="A168" s="20" t="inlineStr">
        <is>
          <t>S-5eaab8</t>
        </is>
      </c>
      <c r="B168" s="20" t="inlineStr">
        <is>
          <t>A-0f3e88</t>
        </is>
      </c>
      <c r="C168" s="20" t="inlineStr">
        <is>
          <t>Rápida (&lt; 30 dias)</t>
        </is>
      </c>
      <c r="D168" s="20" t="inlineStr">
        <is>
          <t>Dez/24</t>
        </is>
      </c>
      <c r="E168" s="20" t="inlineStr">
        <is>
          <t>Não</t>
        </is>
      </c>
      <c r="F168" s="21" t="n">
        <v>45637</v>
      </c>
      <c r="G168" s="21" t="n">
        <v>45649</v>
      </c>
      <c r="H168" s="20" t="n">
        <v>12</v>
      </c>
      <c r="I168" s="20" t="inlineStr">
        <is>
          <t>Pro</t>
        </is>
      </c>
      <c r="J168" s="20" t="inlineStr">
        <is>
          <t>Mensal</t>
        </is>
      </c>
      <c r="K168" s="20" t="n">
        <v>7</v>
      </c>
      <c r="L168" s="20" t="inlineStr">
        <is>
          <t>06–10</t>
        </is>
      </c>
      <c r="M168" s="20" t="inlineStr">
        <is>
          <t>US</t>
        </is>
      </c>
      <c r="N168" s="20" t="inlineStr">
        <is>
          <t>Redução</t>
        </is>
      </c>
      <c r="O168" s="20" t="inlineStr">
        <is>
          <t>Redução</t>
        </is>
      </c>
      <c r="P168" s="20" t="inlineStr">
        <is>
          <t>Redução</t>
        </is>
      </c>
      <c r="Q168" s="20" t="n">
        <v>10</v>
      </c>
      <c r="R168" s="20" t="inlineStr"/>
      <c r="S168" s="20" t="inlineStr"/>
      <c r="T168" s="20" t="inlineStr"/>
      <c r="U168" s="20" t="inlineStr"/>
      <c r="V168" s="20" t="inlineStr"/>
      <c r="W168" s="20" t="inlineStr">
        <is>
          <t>Não</t>
        </is>
      </c>
    </row>
    <row r="169">
      <c r="A169" s="20" t="inlineStr">
        <is>
          <t>S-da0b9b</t>
        </is>
      </c>
      <c r="B169" s="20" t="inlineStr">
        <is>
          <t>A-3a7284</t>
        </is>
      </c>
      <c r="C169" s="20" t="inlineStr">
        <is>
          <t>Rápida (&lt; 30 dias)</t>
        </is>
      </c>
      <c r="D169" s="20" t="inlineStr">
        <is>
          <t>Dez/24</t>
        </is>
      </c>
      <c r="E169" s="20" t="inlineStr">
        <is>
          <t>Não</t>
        </is>
      </c>
      <c r="F169" s="21" t="n">
        <v>45647</v>
      </c>
      <c r="G169" s="21" t="n">
        <v>45649</v>
      </c>
      <c r="H169" s="20" t="n">
        <v>2</v>
      </c>
      <c r="I169" s="20" t="inlineStr">
        <is>
          <t>Pro</t>
        </is>
      </c>
      <c r="J169" s="20" t="inlineStr">
        <is>
          <t>Anual</t>
        </is>
      </c>
      <c r="K169" s="20" t="n">
        <v>33</v>
      </c>
      <c r="L169" s="20" t="inlineStr">
        <is>
          <t>21–40</t>
        </is>
      </c>
      <c r="M169" s="20" t="inlineStr">
        <is>
          <t>US</t>
        </is>
      </c>
      <c r="N169" s="20" t="inlineStr">
        <is>
          <t>Troca/ajuste</t>
        </is>
      </c>
      <c r="O169" s="20" t="inlineStr">
        <is>
          <t>Troca/ajuste</t>
        </is>
      </c>
      <c r="P169" s="20" t="inlineStr">
        <is>
          <t>Troca/ajuste</t>
        </is>
      </c>
      <c r="Q169" s="20" t="n">
        <v>8</v>
      </c>
      <c r="R169" s="20" t="inlineStr">
        <is>
          <t>S-321498, S-4eef1a, S-7be036, S-a3b329</t>
        </is>
      </c>
      <c r="S169" s="20" t="inlineStr">
        <is>
          <t>S-a3b329</t>
        </is>
      </c>
      <c r="T169" s="20" t="inlineStr">
        <is>
          <t>Plano abaixo</t>
        </is>
      </c>
      <c r="U169" s="20" t="inlineStr">
        <is>
          <t>Mudou para mensal</t>
        </is>
      </c>
      <c r="V169" s="20" t="inlineStr">
        <is>
          <t>Mais seats</t>
        </is>
      </c>
      <c r="W169" s="20" t="inlineStr">
        <is>
          <t>Sim</t>
        </is>
      </c>
    </row>
    <row r="170">
      <c r="A170" s="20" t="inlineStr">
        <is>
          <t>S-9781fe</t>
        </is>
      </c>
      <c r="B170" s="20" t="inlineStr">
        <is>
          <t>A-40de06</t>
        </is>
      </c>
      <c r="C170" s="20" t="inlineStr">
        <is>
          <t>Lenta (30+ dias)</t>
        </is>
      </c>
      <c r="D170" s="20" t="inlineStr">
        <is>
          <t>Dez/24</t>
        </is>
      </c>
      <c r="E170" s="20" t="inlineStr">
        <is>
          <t>Não</t>
        </is>
      </c>
      <c r="F170" s="21" t="n">
        <v>45190</v>
      </c>
      <c r="G170" s="21" t="n">
        <v>45649</v>
      </c>
      <c r="H170" s="20" t="n">
        <v>459</v>
      </c>
      <c r="I170" s="20" t="inlineStr">
        <is>
          <t>Pro</t>
        </is>
      </c>
      <c r="J170" s="20" t="inlineStr">
        <is>
          <t>Anual</t>
        </is>
      </c>
      <c r="K170" s="20" t="n">
        <v>28</v>
      </c>
      <c r="L170" s="20" t="inlineStr">
        <is>
          <t>21–40</t>
        </is>
      </c>
      <c r="M170" s="20" t="inlineStr">
        <is>
          <t>US</t>
        </is>
      </c>
      <c r="N170" s="20" t="inlineStr">
        <is>
          <t>Redução</t>
        </is>
      </c>
      <c r="O170" s="20" t="inlineStr">
        <is>
          <t>Redução</t>
        </is>
      </c>
      <c r="P170" s="20" t="inlineStr">
        <is>
          <t>Redução</t>
        </is>
      </c>
      <c r="Q170" s="20" t="n">
        <v>15</v>
      </c>
      <c r="R170" s="20" t="inlineStr"/>
      <c r="S170" s="20" t="inlineStr"/>
      <c r="T170" s="20" t="inlineStr"/>
      <c r="U170" s="20" t="inlineStr"/>
      <c r="V170" s="20" t="inlineStr"/>
      <c r="W170" s="20" t="inlineStr">
        <is>
          <t>Não</t>
        </is>
      </c>
    </row>
    <row r="171">
      <c r="A171" s="20" t="inlineStr">
        <is>
          <t>S-9e8b22</t>
        </is>
      </c>
      <c r="B171" s="20" t="inlineStr">
        <is>
          <t>A-7c6b6b</t>
        </is>
      </c>
      <c r="C171" s="20" t="inlineStr">
        <is>
          <t>Rápida (&lt; 30 dias)</t>
        </is>
      </c>
      <c r="D171" s="20" t="inlineStr">
        <is>
          <t>Dez/24</t>
        </is>
      </c>
      <c r="E171" s="20" t="inlineStr">
        <is>
          <t>Não</t>
        </is>
      </c>
      <c r="F171" s="21" t="n">
        <v>45642</v>
      </c>
      <c r="G171" s="21" t="n">
        <v>45649</v>
      </c>
      <c r="H171" s="20" t="n">
        <v>7</v>
      </c>
      <c r="I171" s="20" t="inlineStr">
        <is>
          <t>Pro</t>
        </is>
      </c>
      <c r="J171" s="20" t="inlineStr">
        <is>
          <t>Anual</t>
        </is>
      </c>
      <c r="K171" s="20" t="n">
        <v>6</v>
      </c>
      <c r="L171" s="20" t="inlineStr">
        <is>
          <t>06–10</t>
        </is>
      </c>
      <c r="M171" s="20" t="inlineStr">
        <is>
          <t>US</t>
        </is>
      </c>
      <c r="N171" s="20" t="inlineStr">
        <is>
          <t>Troca/ajuste</t>
        </is>
      </c>
      <c r="O171" s="20" t="inlineStr">
        <is>
          <t>Troca/ajuste</t>
        </is>
      </c>
      <c r="P171" s="20" t="inlineStr">
        <is>
          <t>Troca/ajuste</t>
        </is>
      </c>
      <c r="Q171" s="20" t="n">
        <v>4</v>
      </c>
      <c r="R171" s="20" t="inlineStr">
        <is>
          <t>S-b81200, S-32ab86, S-4ac0bb</t>
        </is>
      </c>
      <c r="S171" s="20" t="inlineStr">
        <is>
          <t>S-b81200</t>
        </is>
      </c>
      <c r="T171" s="20" t="inlineStr">
        <is>
          <t>Mesmo plano</t>
        </is>
      </c>
      <c r="U171" s="20" t="inlineStr">
        <is>
          <t>Mudou para mensal</t>
        </is>
      </c>
      <c r="V171" s="20" t="inlineStr">
        <is>
          <t>Mesmos seats</t>
        </is>
      </c>
      <c r="W171" s="20" t="inlineStr">
        <is>
          <t>Sim</t>
        </is>
      </c>
    </row>
    <row r="172">
      <c r="A172" s="20" t="inlineStr">
        <is>
          <t>S-ede33a</t>
        </is>
      </c>
      <c r="B172" s="20" t="inlineStr">
        <is>
          <t>A-202b67</t>
        </is>
      </c>
      <c r="C172" s="20" t="inlineStr">
        <is>
          <t>Lenta (30+ dias)</t>
        </is>
      </c>
      <c r="D172" s="20" t="inlineStr">
        <is>
          <t>Dez/24</t>
        </is>
      </c>
      <c r="E172" s="20" t="inlineStr">
        <is>
          <t>Não</t>
        </is>
      </c>
      <c r="F172" s="21" t="n">
        <v>45480</v>
      </c>
      <c r="G172" s="21" t="n">
        <v>45649</v>
      </c>
      <c r="H172" s="20" t="n">
        <v>169</v>
      </c>
      <c r="I172" s="20" t="inlineStr">
        <is>
          <t>Enterprise</t>
        </is>
      </c>
      <c r="J172" s="20" t="inlineStr">
        <is>
          <t>Anual</t>
        </is>
      </c>
      <c r="K172" s="20" t="n">
        <v>11</v>
      </c>
      <c r="L172" s="20" t="inlineStr">
        <is>
          <t>11–20</t>
        </is>
      </c>
      <c r="M172" s="20" t="inlineStr">
        <is>
          <t>US</t>
        </is>
      </c>
      <c r="N172" s="20" t="inlineStr">
        <is>
          <t>Redução</t>
        </is>
      </c>
      <c r="O172" s="20" t="inlineStr">
        <is>
          <t>Redução</t>
        </is>
      </c>
      <c r="P172" s="20" t="inlineStr">
        <is>
          <t>Redução</t>
        </is>
      </c>
      <c r="Q172" s="20" t="n">
        <v>8</v>
      </c>
      <c r="R172" s="20" t="inlineStr"/>
      <c r="S172" s="20" t="inlineStr"/>
      <c r="T172" s="20" t="inlineStr"/>
      <c r="U172" s="20" t="inlineStr"/>
      <c r="V172" s="20" t="inlineStr"/>
      <c r="W172" s="20" t="inlineStr">
        <is>
          <t>Não</t>
        </is>
      </c>
    </row>
    <row r="173">
      <c r="A173" s="20" t="inlineStr">
        <is>
          <t>S-1b6221</t>
        </is>
      </c>
      <c r="B173" s="20" t="inlineStr">
        <is>
          <t>A-f6b2fb</t>
        </is>
      </c>
      <c r="C173" s="20" t="inlineStr">
        <is>
          <t>Lenta (30+ dias)</t>
        </is>
      </c>
      <c r="D173" s="20" t="inlineStr">
        <is>
          <t>Dez/24</t>
        </is>
      </c>
      <c r="E173" s="20" t="inlineStr">
        <is>
          <t>Não</t>
        </is>
      </c>
      <c r="F173" s="21" t="n">
        <v>45455</v>
      </c>
      <c r="G173" s="21" t="n">
        <v>45649</v>
      </c>
      <c r="H173" s="20" t="n">
        <v>194</v>
      </c>
      <c r="I173" s="20" t="inlineStr">
        <is>
          <t>Enterprise</t>
        </is>
      </c>
      <c r="J173" s="20" t="inlineStr">
        <is>
          <t>Mensal</t>
        </is>
      </c>
      <c r="K173" s="20" t="n">
        <v>23</v>
      </c>
      <c r="L173" s="20" t="inlineStr">
        <is>
          <t>21–40</t>
        </is>
      </c>
      <c r="M173" s="20" t="inlineStr">
        <is>
          <t>AU</t>
        </is>
      </c>
      <c r="N173" s="20" t="inlineStr">
        <is>
          <t>Redução</t>
        </is>
      </c>
      <c r="O173" s="20" t="inlineStr">
        <is>
          <t>Redução</t>
        </is>
      </c>
      <c r="P173" s="20" t="inlineStr">
        <is>
          <t>Redução</t>
        </is>
      </c>
      <c r="Q173" s="20" t="n">
        <v>8</v>
      </c>
      <c r="R173" s="20" t="inlineStr"/>
      <c r="S173" s="20" t="inlineStr"/>
      <c r="T173" s="20" t="inlineStr"/>
      <c r="U173" s="20" t="inlineStr"/>
      <c r="V173" s="20" t="inlineStr"/>
      <c r="W173" s="20" t="inlineStr">
        <is>
          <t>Não</t>
        </is>
      </c>
    </row>
    <row r="174">
      <c r="A174" s="20" t="inlineStr">
        <is>
          <t>S-bdf7c2</t>
        </is>
      </c>
      <c r="B174" s="20" t="inlineStr">
        <is>
          <t>A-c42f1f</t>
        </is>
      </c>
      <c r="C174" s="20" t="inlineStr">
        <is>
          <t>Lenta (30+ dias)</t>
        </is>
      </c>
      <c r="D174" s="20" t="inlineStr">
        <is>
          <t>Dez/24</t>
        </is>
      </c>
      <c r="E174" s="20" t="inlineStr">
        <is>
          <t>Não</t>
        </is>
      </c>
      <c r="F174" s="21" t="n">
        <v>45591</v>
      </c>
      <c r="G174" s="21" t="n">
        <v>45650</v>
      </c>
      <c r="H174" s="20" t="n">
        <v>59</v>
      </c>
      <c r="I174" s="20" t="inlineStr">
        <is>
          <t>Pro</t>
        </is>
      </c>
      <c r="J174" s="20" t="inlineStr">
        <is>
          <t>Anual</t>
        </is>
      </c>
      <c r="K174" s="20" t="n">
        <v>11</v>
      </c>
      <c r="L174" s="20" t="inlineStr">
        <is>
          <t>11–20</t>
        </is>
      </c>
      <c r="M174" s="20" t="inlineStr">
        <is>
          <t>US</t>
        </is>
      </c>
      <c r="N174" s="20" t="inlineStr">
        <is>
          <t>Troca/ajuste</t>
        </is>
      </c>
      <c r="O174" s="20" t="inlineStr">
        <is>
          <t>Redução</t>
        </is>
      </c>
      <c r="P174" s="20" t="inlineStr">
        <is>
          <t>Troca/ajuste</t>
        </is>
      </c>
      <c r="Q174" s="20" t="n">
        <v>6</v>
      </c>
      <c r="R174" s="20" t="inlineStr">
        <is>
          <t>S-62b4fc</t>
        </is>
      </c>
      <c r="S174" s="20" t="inlineStr">
        <is>
          <t>S-62b4fc</t>
        </is>
      </c>
      <c r="T174" s="20" t="inlineStr">
        <is>
          <t>Plano abaixo</t>
        </is>
      </c>
      <c r="U174" s="20" t="inlineStr">
        <is>
          <t>Mudou para mensal</t>
        </is>
      </c>
      <c r="V174" s="20" t="inlineStr">
        <is>
          <t>Menos seats</t>
        </is>
      </c>
      <c r="W174" s="20" t="inlineStr">
        <is>
          <t>Não</t>
        </is>
      </c>
    </row>
    <row r="175">
      <c r="A175" s="20" t="inlineStr">
        <is>
          <t>S-0a70a3</t>
        </is>
      </c>
      <c r="B175" s="20" t="inlineStr">
        <is>
          <t>A-5b051a</t>
        </is>
      </c>
      <c r="C175" s="20" t="inlineStr">
        <is>
          <t>Lenta (30+ dias)</t>
        </is>
      </c>
      <c r="D175" s="20" t="inlineStr">
        <is>
          <t>Dez/24</t>
        </is>
      </c>
      <c r="E175" s="20" t="inlineStr">
        <is>
          <t>Não</t>
        </is>
      </c>
      <c r="F175" s="21" t="n">
        <v>45586</v>
      </c>
      <c r="G175" s="21" t="n">
        <v>45650</v>
      </c>
      <c r="H175" s="20" t="n">
        <v>64</v>
      </c>
      <c r="I175" s="20" t="inlineStr">
        <is>
          <t>Basic</t>
        </is>
      </c>
      <c r="J175" s="20" t="inlineStr">
        <is>
          <t>Anual</t>
        </is>
      </c>
      <c r="K175" s="20" t="n">
        <v>22</v>
      </c>
      <c r="L175" s="20" t="inlineStr">
        <is>
          <t>21–40</t>
        </is>
      </c>
      <c r="M175" s="20" t="inlineStr">
        <is>
          <t>US</t>
        </is>
      </c>
      <c r="N175" s="20" t="inlineStr">
        <is>
          <t>Troca/ajuste</t>
        </is>
      </c>
      <c r="O175" s="20" t="inlineStr">
        <is>
          <t>Redução</t>
        </is>
      </c>
      <c r="P175" s="20" t="inlineStr">
        <is>
          <t>Troca/ajuste</t>
        </is>
      </c>
      <c r="Q175" s="20" t="n">
        <v>2</v>
      </c>
      <c r="R175" s="20" t="inlineStr">
        <is>
          <t>S-ad31b0</t>
        </is>
      </c>
      <c r="S175" s="20" t="inlineStr">
        <is>
          <t>S-ad31b0</t>
        </is>
      </c>
      <c r="T175" s="20" t="inlineStr">
        <is>
          <t>Plano acima</t>
        </is>
      </c>
      <c r="U175" s="20" t="inlineStr">
        <is>
          <t>Mudou para mensal</t>
        </is>
      </c>
      <c r="V175" s="20" t="inlineStr">
        <is>
          <t>Mesmos seats</t>
        </is>
      </c>
      <c r="W175" s="20" t="inlineStr">
        <is>
          <t>Não</t>
        </is>
      </c>
    </row>
    <row r="176">
      <c r="A176" s="20" t="inlineStr">
        <is>
          <t>S-9a8a30</t>
        </is>
      </c>
      <c r="B176" s="20" t="inlineStr">
        <is>
          <t>A-4a267b</t>
        </is>
      </c>
      <c r="C176" s="20" t="inlineStr">
        <is>
          <t>Lenta (30+ dias)</t>
        </is>
      </c>
      <c r="D176" s="20" t="inlineStr">
        <is>
          <t>Dez/24</t>
        </is>
      </c>
      <c r="E176" s="20" t="inlineStr">
        <is>
          <t>Não</t>
        </is>
      </c>
      <c r="F176" s="21" t="n">
        <v>45550</v>
      </c>
      <c r="G176" s="21" t="n">
        <v>45650</v>
      </c>
      <c r="H176" s="20" t="n">
        <v>100</v>
      </c>
      <c r="I176" s="20" t="inlineStr">
        <is>
          <t>Enterprise</t>
        </is>
      </c>
      <c r="J176" s="20" t="inlineStr">
        <is>
          <t>Anual</t>
        </is>
      </c>
      <c r="K176" s="20" t="n">
        <v>25</v>
      </c>
      <c r="L176" s="20" t="inlineStr">
        <is>
          <t>21–40</t>
        </is>
      </c>
      <c r="M176" s="20" t="inlineStr">
        <is>
          <t>US</t>
        </is>
      </c>
      <c r="N176" s="20" t="inlineStr">
        <is>
          <t>Redução</t>
        </is>
      </c>
      <c r="O176" s="20" t="inlineStr">
        <is>
          <t>Redução</t>
        </is>
      </c>
      <c r="P176" s="20" t="inlineStr">
        <is>
          <t>Redução</t>
        </is>
      </c>
      <c r="Q176" s="20" t="n">
        <v>8</v>
      </c>
      <c r="R176" s="20" t="inlineStr"/>
      <c r="S176" s="20" t="inlineStr"/>
      <c r="T176" s="20" t="inlineStr"/>
      <c r="U176" s="20" t="inlineStr"/>
      <c r="V176" s="20" t="inlineStr"/>
      <c r="W176" s="20" t="inlineStr">
        <is>
          <t>Não</t>
        </is>
      </c>
    </row>
    <row r="177">
      <c r="A177" s="20" t="inlineStr">
        <is>
          <t>S-90432a</t>
        </is>
      </c>
      <c r="B177" s="20" t="inlineStr">
        <is>
          <t>A-fe79a5</t>
        </is>
      </c>
      <c r="C177" s="20" t="inlineStr">
        <is>
          <t>Rápida (&lt; 30 dias)</t>
        </is>
      </c>
      <c r="D177" s="20" t="inlineStr">
        <is>
          <t>Dez/24</t>
        </is>
      </c>
      <c r="E177" s="20" t="inlineStr">
        <is>
          <t>Não</t>
        </is>
      </c>
      <c r="F177" s="21" t="n">
        <v>45630</v>
      </c>
      <c r="G177" s="21" t="n">
        <v>45650</v>
      </c>
      <c r="H177" s="20" t="n">
        <v>20</v>
      </c>
      <c r="I177" s="20" t="inlineStr">
        <is>
          <t>Enterprise</t>
        </is>
      </c>
      <c r="J177" s="20" t="inlineStr">
        <is>
          <t>Anual</t>
        </is>
      </c>
      <c r="K177" s="20" t="n">
        <v>9</v>
      </c>
      <c r="L177" s="20" t="inlineStr">
        <is>
          <t>06–10</t>
        </is>
      </c>
      <c r="M177" s="20" t="inlineStr">
        <is>
          <t>IN</t>
        </is>
      </c>
      <c r="N177" s="20" t="inlineStr">
        <is>
          <t>Troca/ajuste</t>
        </is>
      </c>
      <c r="O177" s="20" t="inlineStr">
        <is>
          <t>Troca/ajuste</t>
        </is>
      </c>
      <c r="P177" s="20" t="inlineStr">
        <is>
          <t>Troca/ajuste</t>
        </is>
      </c>
      <c r="Q177" s="20" t="n">
        <v>7</v>
      </c>
      <c r="R177" s="20" t="inlineStr">
        <is>
          <t>S-9bd0ec</t>
        </is>
      </c>
      <c r="S177" s="20" t="inlineStr">
        <is>
          <t>S-9bd0ec</t>
        </is>
      </c>
      <c r="T177" s="20" t="inlineStr">
        <is>
          <t>Mesmo plano</t>
        </is>
      </c>
      <c r="U177" s="20" t="inlineStr">
        <is>
          <t>Mesma cobrança</t>
        </is>
      </c>
      <c r="V177" s="20" t="inlineStr">
        <is>
          <t>Mesmos seats</t>
        </is>
      </c>
      <c r="W177" s="20" t="inlineStr">
        <is>
          <t>Não</t>
        </is>
      </c>
    </row>
    <row r="178">
      <c r="A178" s="20" t="inlineStr">
        <is>
          <t>S-c2701b</t>
        </is>
      </c>
      <c r="B178" s="20" t="inlineStr">
        <is>
          <t>A-50bb9f</t>
        </is>
      </c>
      <c r="C178" s="20" t="inlineStr">
        <is>
          <t>Rápida (&lt; 30 dias)</t>
        </is>
      </c>
      <c r="D178" s="20" t="inlineStr">
        <is>
          <t>Dez/24</t>
        </is>
      </c>
      <c r="E178" s="20" t="inlineStr">
        <is>
          <t>Não</t>
        </is>
      </c>
      <c r="F178" s="21" t="n">
        <v>45650</v>
      </c>
      <c r="G178" s="21" t="n">
        <v>45650</v>
      </c>
      <c r="H178" s="20" t="n">
        <v>0</v>
      </c>
      <c r="I178" s="20" t="inlineStr">
        <is>
          <t>Pro</t>
        </is>
      </c>
      <c r="J178" s="20" t="inlineStr">
        <is>
          <t>Mensal</t>
        </is>
      </c>
      <c r="K178" s="20" t="n">
        <v>36</v>
      </c>
      <c r="L178" s="20" t="inlineStr">
        <is>
          <t>21–40</t>
        </is>
      </c>
      <c r="M178" s="20" t="inlineStr">
        <is>
          <t>US</t>
        </is>
      </c>
      <c r="N178" s="20" t="inlineStr">
        <is>
          <t>Troca/ajuste</t>
        </is>
      </c>
      <c r="O178" s="20" t="inlineStr">
        <is>
          <t>Troca/ajuste</t>
        </is>
      </c>
      <c r="P178" s="20" t="inlineStr">
        <is>
          <t>Troca/ajuste</t>
        </is>
      </c>
      <c r="Q178" s="20" t="n">
        <v>6</v>
      </c>
      <c r="R178" s="20" t="inlineStr">
        <is>
          <t>S-b279c9</t>
        </is>
      </c>
      <c r="S178" s="20" t="inlineStr">
        <is>
          <t>S-b279c9</t>
        </is>
      </c>
      <c r="T178" s="20" t="inlineStr">
        <is>
          <t>Mesmo plano</t>
        </is>
      </c>
      <c r="U178" s="20" t="inlineStr">
        <is>
          <t>Mudou para anual</t>
        </is>
      </c>
      <c r="V178" s="20" t="inlineStr">
        <is>
          <t>Mais seats</t>
        </is>
      </c>
      <c r="W178" s="20" t="inlineStr">
        <is>
          <t>Não</t>
        </is>
      </c>
    </row>
    <row r="179">
      <c r="A179" s="20" t="inlineStr">
        <is>
          <t>S-8442d1</t>
        </is>
      </c>
      <c r="B179" s="20" t="inlineStr">
        <is>
          <t>A-82d8a6</t>
        </is>
      </c>
      <c r="C179" s="20" t="inlineStr">
        <is>
          <t>Rápida (&lt; 30 dias)</t>
        </is>
      </c>
      <c r="D179" s="20" t="inlineStr">
        <is>
          <t>Dez/24</t>
        </is>
      </c>
      <c r="E179" s="20" t="inlineStr">
        <is>
          <t>Não</t>
        </is>
      </c>
      <c r="F179" s="21" t="n">
        <v>45648</v>
      </c>
      <c r="G179" s="21" t="n">
        <v>45650</v>
      </c>
      <c r="H179" s="20" t="n">
        <v>2</v>
      </c>
      <c r="I179" s="20" t="inlineStr">
        <is>
          <t>Enterprise</t>
        </is>
      </c>
      <c r="J179" s="20" t="inlineStr">
        <is>
          <t>Mensal</t>
        </is>
      </c>
      <c r="K179" s="20" t="n">
        <v>21</v>
      </c>
      <c r="L179" s="20" t="inlineStr">
        <is>
          <t>21–40</t>
        </is>
      </c>
      <c r="M179" s="20" t="inlineStr">
        <is>
          <t>UK</t>
        </is>
      </c>
      <c r="N179" s="20" t="inlineStr">
        <is>
          <t>Troca/ajuste</t>
        </is>
      </c>
      <c r="O179" s="20" t="inlineStr">
        <is>
          <t>Troca/ajuste</t>
        </is>
      </c>
      <c r="P179" s="20" t="inlineStr">
        <is>
          <t>Troca/ajuste</t>
        </is>
      </c>
      <c r="Q179" s="20" t="n">
        <v>10</v>
      </c>
      <c r="R179" s="20" t="inlineStr">
        <is>
          <t>S-44fba6, S-51b668, S-fb285f, S-9d7c19, S-feea3a, S-2f11bb, S-c3b622, S-c15f06, S-a7ad50</t>
        </is>
      </c>
      <c r="S179" s="20" t="inlineStr">
        <is>
          <t>S-44fba6</t>
        </is>
      </c>
      <c r="T179" s="20" t="inlineStr">
        <is>
          <t>Mesmo plano</t>
        </is>
      </c>
      <c r="U179" s="20" t="inlineStr">
        <is>
          <t>Mudou para anual</t>
        </is>
      </c>
      <c r="V179" s="20" t="inlineStr">
        <is>
          <t>Menos seats</t>
        </is>
      </c>
      <c r="W179" s="20" t="inlineStr">
        <is>
          <t>Sim</t>
        </is>
      </c>
    </row>
    <row r="180">
      <c r="A180" s="20" t="inlineStr">
        <is>
          <t>S-bdc6b7</t>
        </is>
      </c>
      <c r="B180" s="20" t="inlineStr">
        <is>
          <t>A-7f29a7</t>
        </is>
      </c>
      <c r="C180" s="20" t="inlineStr">
        <is>
          <t>Rápida (&lt; 30 dias)</t>
        </is>
      </c>
      <c r="D180" s="20" t="inlineStr">
        <is>
          <t>Dez/24</t>
        </is>
      </c>
      <c r="E180" s="20" t="inlineStr">
        <is>
          <t>Não</t>
        </is>
      </c>
      <c r="F180" s="21" t="n">
        <v>45628</v>
      </c>
      <c r="G180" s="21" t="n">
        <v>45651</v>
      </c>
      <c r="H180" s="20" t="n">
        <v>23</v>
      </c>
      <c r="I180" s="20" t="inlineStr">
        <is>
          <t>Enterprise</t>
        </is>
      </c>
      <c r="J180" s="20" t="inlineStr">
        <is>
          <t>Mensal</t>
        </is>
      </c>
      <c r="K180" s="20" t="n">
        <v>41</v>
      </c>
      <c r="L180" s="20" t="inlineStr">
        <is>
          <t>41–80</t>
        </is>
      </c>
      <c r="M180" s="20" t="inlineStr">
        <is>
          <t>UK</t>
        </is>
      </c>
      <c r="N180" s="20" t="inlineStr">
        <is>
          <t>Troca/ajuste</t>
        </is>
      </c>
      <c r="O180" s="20" t="inlineStr">
        <is>
          <t>Redução</t>
        </is>
      </c>
      <c r="P180" s="20" t="inlineStr">
        <is>
          <t>Troca/ajuste</t>
        </is>
      </c>
      <c r="Q180" s="20" t="n">
        <v>8</v>
      </c>
      <c r="R180" s="20" t="inlineStr">
        <is>
          <t>S-9cb6a7, S-fcbd92</t>
        </is>
      </c>
      <c r="S180" s="20" t="inlineStr">
        <is>
          <t>S-9cb6a7</t>
        </is>
      </c>
      <c r="T180" s="20" t="inlineStr">
        <is>
          <t>Plano abaixo</t>
        </is>
      </c>
      <c r="U180" s="20" t="inlineStr">
        <is>
          <t>Mesma cobrança</t>
        </is>
      </c>
      <c r="V180" s="20" t="inlineStr">
        <is>
          <t>Mesmos seats</t>
        </is>
      </c>
      <c r="W180" s="20" t="inlineStr">
        <is>
          <t>Não</t>
        </is>
      </c>
    </row>
    <row r="181">
      <c r="A181" s="20" t="inlineStr">
        <is>
          <t>S-450fa9</t>
        </is>
      </c>
      <c r="B181" s="20" t="inlineStr">
        <is>
          <t>A-186a44</t>
        </is>
      </c>
      <c r="C181" s="20" t="inlineStr">
        <is>
          <t>Rápida (&lt; 30 dias)</t>
        </is>
      </c>
      <c r="D181" s="20" t="inlineStr">
        <is>
          <t>Dez/24</t>
        </is>
      </c>
      <c r="E181" s="20" t="inlineStr">
        <is>
          <t>Não</t>
        </is>
      </c>
      <c r="F181" s="21" t="n">
        <v>45643</v>
      </c>
      <c r="G181" s="21" t="n">
        <v>45651</v>
      </c>
      <c r="H181" s="20" t="n">
        <v>8</v>
      </c>
      <c r="I181" s="20" t="inlineStr">
        <is>
          <t>Basic</t>
        </is>
      </c>
      <c r="J181" s="20" t="inlineStr">
        <is>
          <t>Mensal</t>
        </is>
      </c>
      <c r="K181" s="20" t="n">
        <v>20</v>
      </c>
      <c r="L181" s="20" t="inlineStr">
        <is>
          <t>11–20</t>
        </is>
      </c>
      <c r="M181" s="20" t="inlineStr">
        <is>
          <t>US</t>
        </is>
      </c>
      <c r="N181" s="20" t="inlineStr">
        <is>
          <t>Redução</t>
        </is>
      </c>
      <c r="O181" s="20" t="inlineStr">
        <is>
          <t>Redução</t>
        </is>
      </c>
      <c r="P181" s="20" t="inlineStr">
        <is>
          <t>Troca/ajuste</t>
        </is>
      </c>
      <c r="Q181" s="20" t="n">
        <v>13</v>
      </c>
      <c r="R181" s="20" t="inlineStr"/>
      <c r="S181" s="20" t="inlineStr"/>
      <c r="T181" s="20" t="inlineStr"/>
      <c r="U181" s="20" t="inlineStr"/>
      <c r="V181" s="20" t="inlineStr"/>
      <c r="W181" s="20" t="inlineStr">
        <is>
          <t>Não</t>
        </is>
      </c>
    </row>
    <row r="182">
      <c r="A182" s="20" t="inlineStr">
        <is>
          <t>S-4690b3</t>
        </is>
      </c>
      <c r="B182" s="20" t="inlineStr">
        <is>
          <t>A-068fc6</t>
        </is>
      </c>
      <c r="C182" s="20" t="inlineStr">
        <is>
          <t>Rápida (&lt; 30 dias)</t>
        </is>
      </c>
      <c r="D182" s="20" t="inlineStr">
        <is>
          <t>Dez/24</t>
        </is>
      </c>
      <c r="E182" s="20" t="inlineStr">
        <is>
          <t>Não</t>
        </is>
      </c>
      <c r="F182" s="21" t="n">
        <v>45642</v>
      </c>
      <c r="G182" s="21" t="n">
        <v>45651</v>
      </c>
      <c r="H182" s="20" t="n">
        <v>9</v>
      </c>
      <c r="I182" s="20" t="inlineStr">
        <is>
          <t>Enterprise</t>
        </is>
      </c>
      <c r="J182" s="20" t="inlineStr">
        <is>
          <t>Mensal</t>
        </is>
      </c>
      <c r="K182" s="20" t="n">
        <v>35</v>
      </c>
      <c r="L182" s="20" t="inlineStr">
        <is>
          <t>21–40</t>
        </is>
      </c>
      <c r="M182" s="20" t="inlineStr">
        <is>
          <t>US</t>
        </is>
      </c>
      <c r="N182" s="20" t="inlineStr">
        <is>
          <t>Redução</t>
        </is>
      </c>
      <c r="O182" s="20" t="inlineStr">
        <is>
          <t>Redução</t>
        </is>
      </c>
      <c r="P182" s="20" t="inlineStr">
        <is>
          <t>Redução</t>
        </is>
      </c>
      <c r="Q182" s="20" t="n">
        <v>9</v>
      </c>
      <c r="R182" s="20" t="inlineStr"/>
      <c r="S182" s="20" t="inlineStr"/>
      <c r="T182" s="20" t="inlineStr"/>
      <c r="U182" s="20" t="inlineStr"/>
      <c r="V182" s="20" t="inlineStr"/>
      <c r="W182" s="20" t="inlineStr">
        <is>
          <t>Não</t>
        </is>
      </c>
    </row>
    <row r="183">
      <c r="A183" s="20" t="inlineStr">
        <is>
          <t>S-689032</t>
        </is>
      </c>
      <c r="B183" s="20" t="inlineStr">
        <is>
          <t>A-410e86</t>
        </is>
      </c>
      <c r="C183" s="20" t="inlineStr">
        <is>
          <t>Rápida (&lt; 30 dias)</t>
        </is>
      </c>
      <c r="D183" s="20" t="inlineStr">
        <is>
          <t>Dez/24</t>
        </is>
      </c>
      <c r="E183" s="20" t="inlineStr">
        <is>
          <t>Não</t>
        </is>
      </c>
      <c r="F183" s="21" t="n">
        <v>45640</v>
      </c>
      <c r="G183" s="21" t="n">
        <v>45651</v>
      </c>
      <c r="H183" s="20" t="n">
        <v>11</v>
      </c>
      <c r="I183" s="20" t="inlineStr">
        <is>
          <t>Enterprise</t>
        </is>
      </c>
      <c r="J183" s="20" t="inlineStr">
        <is>
          <t>Mensal</t>
        </is>
      </c>
      <c r="K183" s="20" t="n">
        <v>24</v>
      </c>
      <c r="L183" s="20" t="inlineStr">
        <is>
          <t>21–40</t>
        </is>
      </c>
      <c r="M183" s="20" t="inlineStr">
        <is>
          <t>US</t>
        </is>
      </c>
      <c r="N183" s="20" t="inlineStr">
        <is>
          <t>Troca/ajuste</t>
        </is>
      </c>
      <c r="O183" s="20" t="inlineStr">
        <is>
          <t>Troca/ajuste</t>
        </is>
      </c>
      <c r="P183" s="20" t="inlineStr">
        <is>
          <t>Troca/ajuste</t>
        </is>
      </c>
      <c r="Q183" s="20" t="n">
        <v>5</v>
      </c>
      <c r="R183" s="20" t="inlineStr">
        <is>
          <t>S-2b2532</t>
        </is>
      </c>
      <c r="S183" s="20" t="inlineStr">
        <is>
          <t>S-2b2532</t>
        </is>
      </c>
      <c r="T183" s="20" t="inlineStr">
        <is>
          <t>Mesmo plano</t>
        </is>
      </c>
      <c r="U183" s="20" t="inlineStr">
        <is>
          <t>Mesma cobrança</t>
        </is>
      </c>
      <c r="V183" s="20" t="inlineStr">
        <is>
          <t>Mesmos seats</t>
        </is>
      </c>
      <c r="W183" s="20" t="inlineStr">
        <is>
          <t>Não</t>
        </is>
      </c>
    </row>
    <row r="184">
      <c r="A184" s="20" t="inlineStr">
        <is>
          <t>S-e1fa5b</t>
        </is>
      </c>
      <c r="B184" s="20" t="inlineStr">
        <is>
          <t>A-157070</t>
        </is>
      </c>
      <c r="C184" s="20" t="inlineStr">
        <is>
          <t>Rápida (&lt; 30 dias)</t>
        </is>
      </c>
      <c r="D184" s="20" t="inlineStr">
        <is>
          <t>Dez/24</t>
        </is>
      </c>
      <c r="E184" s="20" t="inlineStr">
        <is>
          <t>Não</t>
        </is>
      </c>
      <c r="F184" s="21" t="n">
        <v>45634</v>
      </c>
      <c r="G184" s="21" t="n">
        <v>45651</v>
      </c>
      <c r="H184" s="20" t="n">
        <v>17</v>
      </c>
      <c r="I184" s="20" t="inlineStr">
        <is>
          <t>Enterprise</t>
        </is>
      </c>
      <c r="J184" s="20" t="inlineStr">
        <is>
          <t>Mensal</t>
        </is>
      </c>
      <c r="K184" s="20" t="n">
        <v>16</v>
      </c>
      <c r="L184" s="20" t="inlineStr">
        <is>
          <t>11–20</t>
        </is>
      </c>
      <c r="M184" s="20" t="inlineStr">
        <is>
          <t>US</t>
        </is>
      </c>
      <c r="N184" s="20" t="inlineStr">
        <is>
          <t>Troca/ajuste</t>
        </is>
      </c>
      <c r="O184" s="20" t="inlineStr">
        <is>
          <t>Redução</t>
        </is>
      </c>
      <c r="P184" s="20" t="inlineStr">
        <is>
          <t>Troca/ajuste</t>
        </is>
      </c>
      <c r="Q184" s="20" t="n">
        <v>13</v>
      </c>
      <c r="R184" s="20" t="inlineStr">
        <is>
          <t>S-7a9d40</t>
        </is>
      </c>
      <c r="S184" s="20" t="inlineStr">
        <is>
          <t>S-7a9d40</t>
        </is>
      </c>
      <c r="T184" s="20" t="inlineStr">
        <is>
          <t>Plano abaixo</t>
        </is>
      </c>
      <c r="U184" s="20" t="inlineStr">
        <is>
          <t>Mudou para anual</t>
        </is>
      </c>
      <c r="V184" s="20" t="inlineStr">
        <is>
          <t>Mais seats</t>
        </is>
      </c>
      <c r="W184" s="20" t="inlineStr">
        <is>
          <t>Sim</t>
        </is>
      </c>
    </row>
    <row r="185">
      <c r="A185" s="20" t="inlineStr">
        <is>
          <t>S-af8f54</t>
        </is>
      </c>
      <c r="B185" s="20" t="inlineStr">
        <is>
          <t>A-712426</t>
        </is>
      </c>
      <c r="C185" s="20" t="inlineStr">
        <is>
          <t>Rápida (&lt; 30 dias)</t>
        </is>
      </c>
      <c r="D185" s="20" t="inlineStr">
        <is>
          <t>Dez/24</t>
        </is>
      </c>
      <c r="E185" s="20" t="inlineStr">
        <is>
          <t>Não</t>
        </is>
      </c>
      <c r="F185" s="21" t="n">
        <v>45624</v>
      </c>
      <c r="G185" s="21" t="n">
        <v>45652</v>
      </c>
      <c r="H185" s="20" t="n">
        <v>28</v>
      </c>
      <c r="I185" s="20" t="inlineStr">
        <is>
          <t>Enterprise</t>
        </is>
      </c>
      <c r="J185" s="20" t="inlineStr">
        <is>
          <t>Mensal</t>
        </is>
      </c>
      <c r="K185" s="20" t="n">
        <v>9</v>
      </c>
      <c r="L185" s="20" t="inlineStr">
        <is>
          <t>06–10</t>
        </is>
      </c>
      <c r="M185" s="20" t="inlineStr">
        <is>
          <t>US</t>
        </is>
      </c>
      <c r="N185" s="20" t="inlineStr">
        <is>
          <t>Troca/ajuste</t>
        </is>
      </c>
      <c r="O185" s="20" t="inlineStr">
        <is>
          <t>Redução</t>
        </is>
      </c>
      <c r="P185" s="20" t="inlineStr">
        <is>
          <t>Troca/ajuste</t>
        </is>
      </c>
      <c r="Q185" s="20" t="n">
        <v>11</v>
      </c>
      <c r="R185" s="20" t="inlineStr">
        <is>
          <t>S-fcd231, S-1dfdd0, S-a0e1dc</t>
        </is>
      </c>
      <c r="S185" s="20" t="inlineStr">
        <is>
          <t>S-1dfdd0</t>
        </is>
      </c>
      <c r="T185" s="20" t="inlineStr">
        <is>
          <t>Plano abaixo</t>
        </is>
      </c>
      <c r="U185" s="20" t="inlineStr">
        <is>
          <t>Mesma cobrança</t>
        </is>
      </c>
      <c r="V185" s="20" t="inlineStr">
        <is>
          <t>Mais seats</t>
        </is>
      </c>
      <c r="W185" s="20" t="inlineStr">
        <is>
          <t>Sim</t>
        </is>
      </c>
    </row>
    <row r="186">
      <c r="A186" s="20" t="inlineStr">
        <is>
          <t>S-7a9d40</t>
        </is>
      </c>
      <c r="B186" s="20" t="inlineStr">
        <is>
          <t>A-157070</t>
        </is>
      </c>
      <c r="C186" s="20" t="inlineStr">
        <is>
          <t>Rápida (&lt; 30 dias)</t>
        </is>
      </c>
      <c r="D186" s="20" t="inlineStr">
        <is>
          <t>Dez/24</t>
        </is>
      </c>
      <c r="E186" s="20" t="inlineStr">
        <is>
          <t>Não</t>
        </is>
      </c>
      <c r="F186" s="21" t="n">
        <v>45644</v>
      </c>
      <c r="G186" s="21" t="n">
        <v>45652</v>
      </c>
      <c r="H186" s="20" t="n">
        <v>8</v>
      </c>
      <c r="I186" s="20" t="inlineStr">
        <is>
          <t>Basic</t>
        </is>
      </c>
      <c r="J186" s="20" t="inlineStr">
        <is>
          <t>Anual</t>
        </is>
      </c>
      <c r="K186" s="20" t="n">
        <v>38</v>
      </c>
      <c r="L186" s="20" t="inlineStr">
        <is>
          <t>21–40</t>
        </is>
      </c>
      <c r="M186" s="20" t="inlineStr">
        <is>
          <t>US</t>
        </is>
      </c>
      <c r="N186" s="20" t="inlineStr">
        <is>
          <t>Redução</t>
        </is>
      </c>
      <c r="O186" s="20" t="inlineStr">
        <is>
          <t>Redução</t>
        </is>
      </c>
      <c r="P186" s="20" t="inlineStr">
        <is>
          <t>Redução</t>
        </is>
      </c>
      <c r="Q186" s="20" t="n">
        <v>12</v>
      </c>
      <c r="R186" s="20" t="inlineStr"/>
      <c r="S186" s="20" t="inlineStr"/>
      <c r="T186" s="20" t="inlineStr"/>
      <c r="U186" s="20" t="inlineStr"/>
      <c r="V186" s="20" t="inlineStr"/>
      <c r="W186" s="20" t="inlineStr">
        <is>
          <t>Sim</t>
        </is>
      </c>
    </row>
    <row r="187">
      <c r="A187" s="20" t="inlineStr">
        <is>
          <t>S-712f3a</t>
        </is>
      </c>
      <c r="B187" s="20" t="inlineStr">
        <is>
          <t>A-eb1312</t>
        </is>
      </c>
      <c r="C187" s="20" t="inlineStr">
        <is>
          <t>Lenta (30+ dias)</t>
        </is>
      </c>
      <c r="D187" s="20" t="inlineStr">
        <is>
          <t>Dez/24</t>
        </is>
      </c>
      <c r="E187" s="20" t="inlineStr">
        <is>
          <t>Não</t>
        </is>
      </c>
      <c r="F187" s="21" t="n">
        <v>45616</v>
      </c>
      <c r="G187" s="21" t="n">
        <v>45652</v>
      </c>
      <c r="H187" s="20" t="n">
        <v>36</v>
      </c>
      <c r="I187" s="20" t="inlineStr">
        <is>
          <t>Basic</t>
        </is>
      </c>
      <c r="J187" s="20" t="inlineStr">
        <is>
          <t>Mensal</t>
        </is>
      </c>
      <c r="K187" s="20" t="n">
        <v>25</v>
      </c>
      <c r="L187" s="20" t="inlineStr">
        <is>
          <t>21–40</t>
        </is>
      </c>
      <c r="M187" s="20" t="inlineStr">
        <is>
          <t>US</t>
        </is>
      </c>
      <c r="N187" s="20" t="inlineStr">
        <is>
          <t>Troca/ajuste</t>
        </is>
      </c>
      <c r="O187" s="20" t="inlineStr">
        <is>
          <t>Troca/ajuste</t>
        </is>
      </c>
      <c r="P187" s="20" t="inlineStr">
        <is>
          <t>Troca/ajuste</t>
        </is>
      </c>
      <c r="Q187" s="20" t="n">
        <v>9</v>
      </c>
      <c r="R187" s="20" t="inlineStr">
        <is>
          <t>S-29ccb8, S-fc65aa</t>
        </is>
      </c>
      <c r="S187" s="20" t="inlineStr">
        <is>
          <t>S-fc65aa</t>
        </is>
      </c>
      <c r="T187" s="20" t="inlineStr">
        <is>
          <t>Plano acima</t>
        </is>
      </c>
      <c r="U187" s="20" t="inlineStr">
        <is>
          <t>Mudou para anual</t>
        </is>
      </c>
      <c r="V187" s="20" t="inlineStr">
        <is>
          <t>Mesmos seats</t>
        </is>
      </c>
      <c r="W187" s="20" t="inlineStr">
        <is>
          <t>Não</t>
        </is>
      </c>
    </row>
    <row r="188">
      <c r="A188" s="20" t="inlineStr">
        <is>
          <t>S-de9ce0</t>
        </is>
      </c>
      <c r="B188" s="20" t="inlineStr">
        <is>
          <t>A-faa28c</t>
        </is>
      </c>
      <c r="C188" s="20" t="inlineStr">
        <is>
          <t>Lenta (30+ dias)</t>
        </is>
      </c>
      <c r="D188" s="20" t="inlineStr">
        <is>
          <t>Dez/24</t>
        </is>
      </c>
      <c r="E188" s="20" t="inlineStr">
        <is>
          <t>Não</t>
        </is>
      </c>
      <c r="F188" s="21" t="n">
        <v>45510</v>
      </c>
      <c r="G188" s="21" t="n">
        <v>45652</v>
      </c>
      <c r="H188" s="20" t="n">
        <v>142</v>
      </c>
      <c r="I188" s="20" t="inlineStr">
        <is>
          <t>Enterprise</t>
        </is>
      </c>
      <c r="J188" s="20" t="inlineStr">
        <is>
          <t>Anual</t>
        </is>
      </c>
      <c r="K188" s="20" t="n">
        <v>48</v>
      </c>
      <c r="L188" s="20" t="inlineStr">
        <is>
          <t>41–80</t>
        </is>
      </c>
      <c r="M188" s="20" t="inlineStr">
        <is>
          <t>US</t>
        </is>
      </c>
      <c r="N188" s="20" t="inlineStr">
        <is>
          <t>Troca/ajuste</t>
        </is>
      </c>
      <c r="O188" s="20" t="inlineStr">
        <is>
          <t>Troca/ajuste</t>
        </is>
      </c>
      <c r="P188" s="20" t="inlineStr">
        <is>
          <t>Troca/ajuste</t>
        </is>
      </c>
      <c r="Q188" s="20" t="n">
        <v>12</v>
      </c>
      <c r="R188" s="20" t="inlineStr">
        <is>
          <t>S-92dbcc</t>
        </is>
      </c>
      <c r="S188" s="20" t="inlineStr">
        <is>
          <t>S-92dbcc</t>
        </is>
      </c>
      <c r="T188" s="20" t="inlineStr">
        <is>
          <t>Plano abaixo</t>
        </is>
      </c>
      <c r="U188" s="20" t="inlineStr">
        <is>
          <t>Mudou para mensal</t>
        </is>
      </c>
      <c r="V188" s="20" t="inlineStr">
        <is>
          <t>Mesmos seats</t>
        </is>
      </c>
      <c r="W188" s="20" t="inlineStr">
        <is>
          <t>Não</t>
        </is>
      </c>
    </row>
    <row r="189">
      <c r="A189" s="20" t="inlineStr">
        <is>
          <t>S-9f8b23</t>
        </is>
      </c>
      <c r="B189" s="20" t="inlineStr">
        <is>
          <t>A-118f1c</t>
        </is>
      </c>
      <c r="C189" s="20" t="inlineStr">
        <is>
          <t>Rápida (&lt; 30 dias)</t>
        </is>
      </c>
      <c r="D189" s="20" t="inlineStr">
        <is>
          <t>Dez/24</t>
        </is>
      </c>
      <c r="E189" s="20" t="inlineStr">
        <is>
          <t>Não</t>
        </is>
      </c>
      <c r="F189" s="21" t="n">
        <v>45650</v>
      </c>
      <c r="G189" s="21" t="n">
        <v>45652</v>
      </c>
      <c r="H189" s="20" t="n">
        <v>2</v>
      </c>
      <c r="I189" s="20" t="inlineStr">
        <is>
          <t>Enterprise</t>
        </is>
      </c>
      <c r="J189" s="20" t="inlineStr">
        <is>
          <t>Anual</t>
        </is>
      </c>
      <c r="K189" s="20" t="n">
        <v>128</v>
      </c>
      <c r="L189" s="20" t="inlineStr">
        <is>
          <t>81 ou mais</t>
        </is>
      </c>
      <c r="M189" s="20" t="inlineStr">
        <is>
          <t>US</t>
        </is>
      </c>
      <c r="N189" s="20" t="inlineStr">
        <is>
          <t>Troca/ajuste</t>
        </is>
      </c>
      <c r="O189" s="20" t="inlineStr">
        <is>
          <t>Troca/ajuste</t>
        </is>
      </c>
      <c r="P189" s="20" t="inlineStr">
        <is>
          <t>Troca/ajuste</t>
        </is>
      </c>
      <c r="Q189" s="20" t="n">
        <v>6</v>
      </c>
      <c r="R189" s="20" t="inlineStr">
        <is>
          <t>S-05eff5, S-3fb8f4, S-7e09c4</t>
        </is>
      </c>
      <c r="S189" s="20" t="inlineStr">
        <is>
          <t>S-3fb8f4</t>
        </is>
      </c>
      <c r="T189" s="20" t="inlineStr">
        <is>
          <t>Mesmo plano</t>
        </is>
      </c>
      <c r="U189" s="20" t="inlineStr">
        <is>
          <t>Mesma cobrança</t>
        </is>
      </c>
      <c r="V189" s="20" t="inlineStr">
        <is>
          <t>Menos seats</t>
        </is>
      </c>
      <c r="W189" s="20" t="inlineStr">
        <is>
          <t>Sim</t>
        </is>
      </c>
    </row>
    <row r="190">
      <c r="A190" s="20" t="inlineStr">
        <is>
          <t>S-65731a</t>
        </is>
      </c>
      <c r="B190" s="20" t="inlineStr">
        <is>
          <t>A-684255</t>
        </is>
      </c>
      <c r="C190" s="20" t="inlineStr">
        <is>
          <t>Rápida (&lt; 30 dias)</t>
        </is>
      </c>
      <c r="D190" s="20" t="inlineStr">
        <is>
          <t>Dez/24</t>
        </is>
      </c>
      <c r="E190" s="20" t="inlineStr">
        <is>
          <t>Não</t>
        </is>
      </c>
      <c r="F190" s="21" t="n">
        <v>45641</v>
      </c>
      <c r="G190" s="21" t="n">
        <v>45652</v>
      </c>
      <c r="H190" s="20" t="n">
        <v>11</v>
      </c>
      <c r="I190" s="20" t="inlineStr">
        <is>
          <t>Basic</t>
        </is>
      </c>
      <c r="J190" s="20" t="inlineStr">
        <is>
          <t>Anual</t>
        </is>
      </c>
      <c r="K190" s="20" t="n">
        <v>9</v>
      </c>
      <c r="L190" s="20" t="inlineStr">
        <is>
          <t>06–10</t>
        </is>
      </c>
      <c r="M190" s="20" t="inlineStr">
        <is>
          <t>US</t>
        </is>
      </c>
      <c r="N190" s="20" t="inlineStr">
        <is>
          <t>Redução</t>
        </is>
      </c>
      <c r="O190" s="20" t="inlineStr">
        <is>
          <t>Redução</t>
        </is>
      </c>
      <c r="P190" s="20" t="inlineStr">
        <is>
          <t>Redução</t>
        </is>
      </c>
      <c r="Q190" s="20" t="n">
        <v>11</v>
      </c>
      <c r="R190" s="20" t="inlineStr"/>
      <c r="S190" s="20" t="inlineStr"/>
      <c r="T190" s="20" t="inlineStr"/>
      <c r="U190" s="20" t="inlineStr"/>
      <c r="V190" s="20" t="inlineStr"/>
      <c r="W190" s="20" t="inlineStr">
        <is>
          <t>Não</t>
        </is>
      </c>
    </row>
    <row r="191">
      <c r="A191" s="20" t="inlineStr">
        <is>
          <t>S-94c40b</t>
        </is>
      </c>
      <c r="B191" s="20" t="inlineStr">
        <is>
          <t>A-7c6b6b</t>
        </is>
      </c>
      <c r="C191" s="20" t="inlineStr">
        <is>
          <t>Rápida (&lt; 30 dias)</t>
        </is>
      </c>
      <c r="D191" s="20" t="inlineStr">
        <is>
          <t>Dez/24</t>
        </is>
      </c>
      <c r="E191" s="20" t="inlineStr">
        <is>
          <t>Não</t>
        </is>
      </c>
      <c r="F191" s="21" t="n">
        <v>45632</v>
      </c>
      <c r="G191" s="21" t="n">
        <v>45652</v>
      </c>
      <c r="H191" s="20" t="n">
        <v>20</v>
      </c>
      <c r="I191" s="20" t="inlineStr">
        <is>
          <t>Pro</t>
        </is>
      </c>
      <c r="J191" s="20" t="inlineStr">
        <is>
          <t>Anual</t>
        </is>
      </c>
      <c r="K191" s="20" t="n">
        <v>26</v>
      </c>
      <c r="L191" s="20" t="inlineStr">
        <is>
          <t>21–40</t>
        </is>
      </c>
      <c r="M191" s="20" t="inlineStr">
        <is>
          <t>US</t>
        </is>
      </c>
      <c r="N191" s="20" t="inlineStr">
        <is>
          <t>Troca/ajuste</t>
        </is>
      </c>
      <c r="O191" s="20" t="inlineStr">
        <is>
          <t>Troca/ajuste</t>
        </is>
      </c>
      <c r="P191" s="20" t="inlineStr">
        <is>
          <t>Troca/ajuste</t>
        </is>
      </c>
      <c r="Q191" s="20" t="n">
        <v>4</v>
      </c>
      <c r="R191" s="20" t="inlineStr">
        <is>
          <t>S-b81200, S-32ab86, S-4ac0bb</t>
        </is>
      </c>
      <c r="S191" s="20" t="inlineStr">
        <is>
          <t>S-4ac0bb</t>
        </is>
      </c>
      <c r="T191" s="20" t="inlineStr">
        <is>
          <t>Mesmo plano</t>
        </is>
      </c>
      <c r="U191" s="20" t="inlineStr">
        <is>
          <t>Mudou para mensal</t>
        </is>
      </c>
      <c r="V191" s="20" t="inlineStr">
        <is>
          <t>Mais seats</t>
        </is>
      </c>
      <c r="W191" s="20" t="inlineStr">
        <is>
          <t>Sim</t>
        </is>
      </c>
    </row>
    <row r="192">
      <c r="A192" s="20" t="inlineStr">
        <is>
          <t>S-95a570</t>
        </is>
      </c>
      <c r="B192" s="20" t="inlineStr">
        <is>
          <t>A-56962b</t>
        </is>
      </c>
      <c r="C192" s="20" t="inlineStr">
        <is>
          <t>Lenta (30+ dias)</t>
        </is>
      </c>
      <c r="D192" s="20" t="inlineStr">
        <is>
          <t>Dez/24</t>
        </is>
      </c>
      <c r="E192" s="20" t="inlineStr">
        <is>
          <t>Não</t>
        </is>
      </c>
      <c r="F192" s="21" t="n">
        <v>45616</v>
      </c>
      <c r="G192" s="21" t="n">
        <v>45652</v>
      </c>
      <c r="H192" s="20" t="n">
        <v>36</v>
      </c>
      <c r="I192" s="20" t="inlineStr">
        <is>
          <t>Pro</t>
        </is>
      </c>
      <c r="J192" s="20" t="inlineStr">
        <is>
          <t>Mensal</t>
        </is>
      </c>
      <c r="K192" s="20" t="n">
        <v>163</v>
      </c>
      <c r="L192" s="20" t="inlineStr">
        <is>
          <t>81 ou mais</t>
        </is>
      </c>
      <c r="M192" s="20" t="inlineStr">
        <is>
          <t>UK</t>
        </is>
      </c>
      <c r="N192" s="20" t="inlineStr">
        <is>
          <t>Redução</t>
        </is>
      </c>
      <c r="O192" s="20" t="inlineStr">
        <is>
          <t>Redução</t>
        </is>
      </c>
      <c r="P192" s="20" t="inlineStr">
        <is>
          <t>Troca/ajuste</t>
        </is>
      </c>
      <c r="Q192" s="20" t="n">
        <v>6</v>
      </c>
      <c r="R192" s="20" t="inlineStr"/>
      <c r="S192" s="20" t="inlineStr"/>
      <c r="T192" s="20" t="inlineStr"/>
      <c r="U192" s="20" t="inlineStr"/>
      <c r="V192" s="20" t="inlineStr"/>
      <c r="W192" s="20" t="inlineStr">
        <is>
          <t>Não</t>
        </is>
      </c>
    </row>
    <row r="193">
      <c r="A193" s="20" t="inlineStr">
        <is>
          <t>S-f22b7f</t>
        </is>
      </c>
      <c r="B193" s="20" t="inlineStr">
        <is>
          <t>A-b44e3e</t>
        </is>
      </c>
      <c r="C193" s="20" t="inlineStr">
        <is>
          <t>Rápida (&lt; 30 dias)</t>
        </is>
      </c>
      <c r="D193" s="20" t="inlineStr">
        <is>
          <t>Dez/24</t>
        </is>
      </c>
      <c r="E193" s="20" t="inlineStr">
        <is>
          <t>Não</t>
        </is>
      </c>
      <c r="F193" s="21" t="n">
        <v>45653</v>
      </c>
      <c r="G193" s="21" t="n">
        <v>45653</v>
      </c>
      <c r="H193" s="20" t="n">
        <v>0</v>
      </c>
      <c r="I193" s="20" t="inlineStr">
        <is>
          <t>Enterprise</t>
        </is>
      </c>
      <c r="J193" s="20" t="inlineStr">
        <is>
          <t>Anual</t>
        </is>
      </c>
      <c r="K193" s="20" t="n">
        <v>40</v>
      </c>
      <c r="L193" s="20" t="inlineStr">
        <is>
          <t>21–40</t>
        </is>
      </c>
      <c r="M193" s="20" t="inlineStr">
        <is>
          <t>UK</t>
        </is>
      </c>
      <c r="N193" s="20" t="inlineStr">
        <is>
          <t>Redução</t>
        </is>
      </c>
      <c r="O193" s="20" t="inlineStr">
        <is>
          <t>Redução</t>
        </is>
      </c>
      <c r="P193" s="20" t="inlineStr">
        <is>
          <t>Redução</t>
        </is>
      </c>
      <c r="Q193" s="20" t="n">
        <v>6</v>
      </c>
      <c r="R193" s="20" t="inlineStr"/>
      <c r="S193" s="20" t="inlineStr"/>
      <c r="T193" s="20" t="inlineStr"/>
      <c r="U193" s="20" t="inlineStr"/>
      <c r="V193" s="20" t="inlineStr"/>
      <c r="W193" s="20" t="inlineStr">
        <is>
          <t>Não</t>
        </is>
      </c>
    </row>
    <row r="194">
      <c r="A194" s="20" t="inlineStr">
        <is>
          <t>S-1cf9b0</t>
        </is>
      </c>
      <c r="B194" s="20" t="inlineStr">
        <is>
          <t>A-922109</t>
        </is>
      </c>
      <c r="C194" s="20" t="inlineStr">
        <is>
          <t>Lenta (30+ dias)</t>
        </is>
      </c>
      <c r="D194" s="20" t="inlineStr">
        <is>
          <t>Dez/24</t>
        </is>
      </c>
      <c r="E194" s="20" t="inlineStr">
        <is>
          <t>Não</t>
        </is>
      </c>
      <c r="F194" s="21" t="n">
        <v>45488</v>
      </c>
      <c r="G194" s="21" t="n">
        <v>45653</v>
      </c>
      <c r="H194" s="20" t="n">
        <v>165</v>
      </c>
      <c r="I194" s="20" t="inlineStr">
        <is>
          <t>Pro</t>
        </is>
      </c>
      <c r="J194" s="20" t="inlineStr">
        <is>
          <t>Mensal</t>
        </is>
      </c>
      <c r="K194" s="20" t="n">
        <v>9</v>
      </c>
      <c r="L194" s="20" t="inlineStr">
        <is>
          <t>06–10</t>
        </is>
      </c>
      <c r="M194" s="20" t="inlineStr">
        <is>
          <t>US</t>
        </is>
      </c>
      <c r="N194" s="20" t="inlineStr">
        <is>
          <t>Redução</t>
        </is>
      </c>
      <c r="O194" s="20" t="inlineStr">
        <is>
          <t>Redução</t>
        </is>
      </c>
      <c r="P194" s="20" t="inlineStr">
        <is>
          <t>Redução</t>
        </is>
      </c>
      <c r="Q194" s="20" t="n">
        <v>12</v>
      </c>
      <c r="R194" s="20" t="inlineStr"/>
      <c r="S194" s="20" t="inlineStr"/>
      <c r="T194" s="20" t="inlineStr"/>
      <c r="U194" s="20" t="inlineStr"/>
      <c r="V194" s="20" t="inlineStr"/>
      <c r="W194" s="20" t="inlineStr">
        <is>
          <t>Sim</t>
        </is>
      </c>
    </row>
    <row r="195">
      <c r="A195" s="20" t="inlineStr">
        <is>
          <t>S-c25d2f</t>
        </is>
      </c>
      <c r="B195" s="20" t="inlineStr">
        <is>
          <t>A-fabe19</t>
        </is>
      </c>
      <c r="C195" s="20" t="inlineStr">
        <is>
          <t>Rápida (&lt; 30 dias)</t>
        </is>
      </c>
      <c r="D195" s="20" t="inlineStr">
        <is>
          <t>Dez/24</t>
        </is>
      </c>
      <c r="E195" s="20" t="inlineStr">
        <is>
          <t>Não</t>
        </is>
      </c>
      <c r="F195" s="21" t="n">
        <v>45638</v>
      </c>
      <c r="G195" s="21" t="n">
        <v>45653</v>
      </c>
      <c r="H195" s="20" t="n">
        <v>15</v>
      </c>
      <c r="I195" s="20" t="inlineStr">
        <is>
          <t>Enterprise</t>
        </is>
      </c>
      <c r="J195" s="20" t="inlineStr">
        <is>
          <t>Anual</t>
        </is>
      </c>
      <c r="K195" s="20" t="n">
        <v>32</v>
      </c>
      <c r="L195" s="20" t="inlineStr">
        <is>
          <t>21–40</t>
        </is>
      </c>
      <c r="M195" s="20" t="inlineStr">
        <is>
          <t>UK</t>
        </is>
      </c>
      <c r="N195" s="20" t="inlineStr">
        <is>
          <t>Troca/ajuste</t>
        </is>
      </c>
      <c r="O195" s="20" t="inlineStr">
        <is>
          <t>Troca/ajuste</t>
        </is>
      </c>
      <c r="P195" s="20" t="inlineStr">
        <is>
          <t>Troca/ajuste</t>
        </is>
      </c>
      <c r="Q195" s="20" t="n">
        <v>6</v>
      </c>
      <c r="R195" s="20" t="inlineStr">
        <is>
          <t>S-e0a4c5, S-c8a4ff, S-20152a</t>
        </is>
      </c>
      <c r="S195" s="20" t="inlineStr">
        <is>
          <t>S-e0a4c5</t>
        </is>
      </c>
      <c r="T195" s="20" t="inlineStr">
        <is>
          <t>Mesmo plano</t>
        </is>
      </c>
      <c r="U195" s="20" t="inlineStr">
        <is>
          <t>Mudou para mensal</t>
        </is>
      </c>
      <c r="V195" s="20" t="inlineStr">
        <is>
          <t>Menos seats</t>
        </is>
      </c>
      <c r="W195" s="20" t="inlineStr">
        <is>
          <t>Não</t>
        </is>
      </c>
    </row>
    <row r="196">
      <c r="A196" s="20" t="inlineStr">
        <is>
          <t>S-3bd427</t>
        </is>
      </c>
      <c r="B196" s="20" t="inlineStr">
        <is>
          <t>A-2e3bad</t>
        </is>
      </c>
      <c r="C196" s="20" t="inlineStr">
        <is>
          <t>Rápida (&lt; 30 dias)</t>
        </is>
      </c>
      <c r="D196" s="20" t="inlineStr">
        <is>
          <t>Dez/24</t>
        </is>
      </c>
      <c r="E196" s="20" t="inlineStr">
        <is>
          <t>Não</t>
        </is>
      </c>
      <c r="F196" s="21" t="n">
        <v>45630</v>
      </c>
      <c r="G196" s="21" t="n">
        <v>45653</v>
      </c>
      <c r="H196" s="20" t="n">
        <v>23</v>
      </c>
      <c r="I196" s="20" t="inlineStr">
        <is>
          <t>Basic</t>
        </is>
      </c>
      <c r="J196" s="20" t="inlineStr">
        <is>
          <t>Mensal</t>
        </is>
      </c>
      <c r="K196" s="20" t="n">
        <v>61</v>
      </c>
      <c r="L196" s="20" t="inlineStr">
        <is>
          <t>41–80</t>
        </is>
      </c>
      <c r="M196" s="20" t="inlineStr">
        <is>
          <t>CA</t>
        </is>
      </c>
      <c r="N196" s="20" t="inlineStr">
        <is>
          <t>Redução</t>
        </is>
      </c>
      <c r="O196" s="20" t="inlineStr">
        <is>
          <t>Redução</t>
        </is>
      </c>
      <c r="P196" s="20" t="inlineStr">
        <is>
          <t>Redução</t>
        </is>
      </c>
      <c r="Q196" s="20" t="n">
        <v>8</v>
      </c>
      <c r="R196" s="20" t="inlineStr"/>
      <c r="S196" s="20" t="inlineStr"/>
      <c r="T196" s="20" t="inlineStr"/>
      <c r="U196" s="20" t="inlineStr"/>
      <c r="V196" s="20" t="inlineStr"/>
      <c r="W196" s="20" t="inlineStr">
        <is>
          <t>Não</t>
        </is>
      </c>
    </row>
    <row r="197">
      <c r="A197" s="20" t="inlineStr">
        <is>
          <t>S-5d5a8d</t>
        </is>
      </c>
      <c r="B197" s="20" t="inlineStr">
        <is>
          <t>A-2922b6</t>
        </is>
      </c>
      <c r="C197" s="20" t="inlineStr">
        <is>
          <t>Rápida (&lt; 30 dias)</t>
        </is>
      </c>
      <c r="D197" s="20" t="inlineStr">
        <is>
          <t>Dez/24</t>
        </is>
      </c>
      <c r="E197" s="20" t="inlineStr">
        <is>
          <t>Não</t>
        </is>
      </c>
      <c r="F197" s="21" t="n">
        <v>45643</v>
      </c>
      <c r="G197" s="21" t="n">
        <v>45654</v>
      </c>
      <c r="H197" s="20" t="n">
        <v>11</v>
      </c>
      <c r="I197" s="20" t="inlineStr">
        <is>
          <t>Pro</t>
        </is>
      </c>
      <c r="J197" s="20" t="inlineStr">
        <is>
          <t>Anual</t>
        </is>
      </c>
      <c r="K197" s="20" t="n">
        <v>15</v>
      </c>
      <c r="L197" s="20" t="inlineStr">
        <is>
          <t>11–20</t>
        </is>
      </c>
      <c r="M197" s="20" t="inlineStr">
        <is>
          <t>US</t>
        </is>
      </c>
      <c r="N197" s="20" t="inlineStr">
        <is>
          <t>Troca/ajuste</t>
        </is>
      </c>
      <c r="O197" s="20" t="inlineStr">
        <is>
          <t>Troca/ajuste</t>
        </is>
      </c>
      <c r="P197" s="20" t="inlineStr">
        <is>
          <t>Troca/ajuste</t>
        </is>
      </c>
      <c r="Q197" s="20" t="n">
        <v>5</v>
      </c>
      <c r="R197" s="20" t="inlineStr">
        <is>
          <t>S-8dfd77, S-a64940</t>
        </is>
      </c>
      <c r="S197" s="20" t="inlineStr">
        <is>
          <t>S-8dfd77</t>
        </is>
      </c>
      <c r="T197" s="20" t="inlineStr">
        <is>
          <t>Mesmo plano</t>
        </is>
      </c>
      <c r="U197" s="20" t="inlineStr">
        <is>
          <t>Mesma cobrança</t>
        </is>
      </c>
      <c r="V197" s="20" t="inlineStr">
        <is>
          <t>Mais seats</t>
        </is>
      </c>
      <c r="W197" s="20" t="inlineStr">
        <is>
          <t>Sim</t>
        </is>
      </c>
    </row>
    <row r="198">
      <c r="A198" s="20" t="inlineStr">
        <is>
          <t>S-984f8b</t>
        </is>
      </c>
      <c r="B198" s="20" t="inlineStr">
        <is>
          <t>A-db5e9e</t>
        </is>
      </c>
      <c r="C198" s="20" t="inlineStr">
        <is>
          <t>Rápida (&lt; 30 dias)</t>
        </is>
      </c>
      <c r="D198" s="20" t="inlineStr">
        <is>
          <t>Dez/24</t>
        </is>
      </c>
      <c r="E198" s="20" t="inlineStr">
        <is>
          <t>Não</t>
        </is>
      </c>
      <c r="F198" s="21" t="n">
        <v>45654</v>
      </c>
      <c r="G198" s="21" t="n">
        <v>45654</v>
      </c>
      <c r="H198" s="20" t="n">
        <v>0</v>
      </c>
      <c r="I198" s="20" t="inlineStr">
        <is>
          <t>Enterprise</t>
        </is>
      </c>
      <c r="J198" s="20" t="inlineStr">
        <is>
          <t>Anual</t>
        </is>
      </c>
      <c r="K198" s="20" t="n">
        <v>17</v>
      </c>
      <c r="L198" s="20" t="inlineStr">
        <is>
          <t>11–20</t>
        </is>
      </c>
      <c r="M198" s="20" t="inlineStr">
        <is>
          <t>US</t>
        </is>
      </c>
      <c r="N198" s="20" t="inlineStr">
        <is>
          <t>Troca/ajuste</t>
        </is>
      </c>
      <c r="O198" s="20" t="inlineStr">
        <is>
          <t>Troca/ajuste</t>
        </is>
      </c>
      <c r="P198" s="20" t="inlineStr">
        <is>
          <t>Troca/ajuste</t>
        </is>
      </c>
      <c r="Q198" s="20" t="n">
        <v>7</v>
      </c>
      <c r="R198" s="20" t="inlineStr">
        <is>
          <t>S-d7ccbd, S-23587d</t>
        </is>
      </c>
      <c r="S198" s="20" t="inlineStr">
        <is>
          <t>S-23587d</t>
        </is>
      </c>
      <c r="T198" s="20" t="inlineStr">
        <is>
          <t>Plano abaixo</t>
        </is>
      </c>
      <c r="U198" s="20" t="inlineStr">
        <is>
          <t>Mesma cobrança</t>
        </is>
      </c>
      <c r="V198" s="20" t="inlineStr">
        <is>
          <t>Menos seats</t>
        </is>
      </c>
      <c r="W198" s="20" t="inlineStr">
        <is>
          <t>Sim</t>
        </is>
      </c>
    </row>
    <row r="199">
      <c r="A199" s="20" t="inlineStr">
        <is>
          <t>S-f4b648</t>
        </is>
      </c>
      <c r="B199" s="20" t="inlineStr">
        <is>
          <t>A-8ae05d</t>
        </is>
      </c>
      <c r="C199" s="20" t="inlineStr">
        <is>
          <t>Lenta (30+ dias)</t>
        </is>
      </c>
      <c r="D199" s="20" t="inlineStr">
        <is>
          <t>Dez/24</t>
        </is>
      </c>
      <c r="E199" s="20" t="inlineStr">
        <is>
          <t>Não</t>
        </is>
      </c>
      <c r="F199" s="21" t="n">
        <v>45623</v>
      </c>
      <c r="G199" s="21" t="n">
        <v>45654</v>
      </c>
      <c r="H199" s="20" t="n">
        <v>31</v>
      </c>
      <c r="I199" s="20" t="inlineStr">
        <is>
          <t>Enterprise</t>
        </is>
      </c>
      <c r="J199" s="20" t="inlineStr">
        <is>
          <t>Anual</t>
        </is>
      </c>
      <c r="K199" s="20" t="n">
        <v>86</v>
      </c>
      <c r="L199" s="20" t="inlineStr">
        <is>
          <t>81 ou mais</t>
        </is>
      </c>
      <c r="M199" s="20" t="inlineStr">
        <is>
          <t>IN</t>
        </is>
      </c>
      <c r="N199" s="20" t="inlineStr">
        <is>
          <t>Redução</t>
        </is>
      </c>
      <c r="O199" s="20" t="inlineStr">
        <is>
          <t>Redução</t>
        </is>
      </c>
      <c r="P199" s="20" t="inlineStr">
        <is>
          <t>Redução</t>
        </is>
      </c>
      <c r="Q199" s="20" t="n">
        <v>6</v>
      </c>
      <c r="R199" s="20" t="inlineStr"/>
      <c r="S199" s="20" t="inlineStr"/>
      <c r="T199" s="20" t="inlineStr"/>
      <c r="U199" s="20" t="inlineStr"/>
      <c r="V199" s="20" t="inlineStr"/>
      <c r="W199" s="20" t="inlineStr">
        <is>
          <t>Não</t>
        </is>
      </c>
    </row>
    <row r="200">
      <c r="A200" s="20" t="inlineStr">
        <is>
          <t>S-9a7851</t>
        </is>
      </c>
      <c r="B200" s="20" t="inlineStr">
        <is>
          <t>A-4c38bc</t>
        </is>
      </c>
      <c r="C200" s="20" t="inlineStr">
        <is>
          <t>Rápida (&lt; 30 dias)</t>
        </is>
      </c>
      <c r="D200" s="20" t="inlineStr">
        <is>
          <t>Dez/24</t>
        </is>
      </c>
      <c r="E200" s="20" t="inlineStr">
        <is>
          <t>Não</t>
        </is>
      </c>
      <c r="F200" s="21" t="n">
        <v>45653</v>
      </c>
      <c r="G200" s="21" t="n">
        <v>45654</v>
      </c>
      <c r="H200" s="20" t="n">
        <v>1</v>
      </c>
      <c r="I200" s="20" t="inlineStr">
        <is>
          <t>Pro</t>
        </is>
      </c>
      <c r="J200" s="20" t="inlineStr">
        <is>
          <t>Anual</t>
        </is>
      </c>
      <c r="K200" s="20" t="n">
        <v>36</v>
      </c>
      <c r="L200" s="20" t="inlineStr">
        <is>
          <t>21–40</t>
        </is>
      </c>
      <c r="M200" s="20" t="inlineStr">
        <is>
          <t>UK</t>
        </is>
      </c>
      <c r="N200" s="20" t="inlineStr">
        <is>
          <t>Redução</t>
        </is>
      </c>
      <c r="O200" s="20" t="inlineStr">
        <is>
          <t>Redução</t>
        </is>
      </c>
      <c r="P200" s="20" t="inlineStr">
        <is>
          <t>Redução</t>
        </is>
      </c>
      <c r="Q200" s="20" t="n">
        <v>14</v>
      </c>
      <c r="R200" s="20" t="inlineStr"/>
      <c r="S200" s="20" t="inlineStr"/>
      <c r="T200" s="20" t="inlineStr"/>
      <c r="U200" s="20" t="inlineStr"/>
      <c r="V200" s="20" t="inlineStr"/>
      <c r="W200" s="20" t="inlineStr">
        <is>
          <t>Não</t>
        </is>
      </c>
    </row>
    <row r="201">
      <c r="A201" s="20" t="inlineStr">
        <is>
          <t>S-008f3c</t>
        </is>
      </c>
      <c r="B201" s="20" t="inlineStr">
        <is>
          <t>A-e98302</t>
        </is>
      </c>
      <c r="C201" s="20" t="inlineStr">
        <is>
          <t>Rápida (&lt; 30 dias)</t>
        </is>
      </c>
      <c r="D201" s="20" t="inlineStr">
        <is>
          <t>Dez/24</t>
        </is>
      </c>
      <c r="E201" s="20" t="inlineStr">
        <is>
          <t>Não</t>
        </is>
      </c>
      <c r="F201" s="21" t="n">
        <v>45649</v>
      </c>
      <c r="G201" s="21" t="n">
        <v>45654</v>
      </c>
      <c r="H201" s="20" t="n">
        <v>5</v>
      </c>
      <c r="I201" s="20" t="inlineStr">
        <is>
          <t>Pro</t>
        </is>
      </c>
      <c r="J201" s="20" t="inlineStr">
        <is>
          <t>Anual</t>
        </is>
      </c>
      <c r="K201" s="20" t="n">
        <v>58</v>
      </c>
      <c r="L201" s="20" t="inlineStr">
        <is>
          <t>41–80</t>
        </is>
      </c>
      <c r="M201" s="20" t="inlineStr">
        <is>
          <t>US</t>
        </is>
      </c>
      <c r="N201" s="20" t="inlineStr">
        <is>
          <t>Redução</t>
        </is>
      </c>
      <c r="O201" s="20" t="inlineStr">
        <is>
          <t>Redução</t>
        </is>
      </c>
      <c r="P201" s="20" t="inlineStr">
        <is>
          <t>Redução</t>
        </is>
      </c>
      <c r="Q201" s="20" t="n">
        <v>5</v>
      </c>
      <c r="R201" s="20" t="inlineStr"/>
      <c r="S201" s="20" t="inlineStr"/>
      <c r="T201" s="20" t="inlineStr"/>
      <c r="U201" s="20" t="inlineStr"/>
      <c r="V201" s="20" t="inlineStr"/>
      <c r="W201" s="20" t="inlineStr">
        <is>
          <t>Não</t>
        </is>
      </c>
    </row>
    <row r="202">
      <c r="A202" s="20" t="inlineStr">
        <is>
          <t>S-75c1b4</t>
        </is>
      </c>
      <c r="B202" s="20" t="inlineStr">
        <is>
          <t>A-5a3eb9</t>
        </is>
      </c>
      <c r="C202" s="20" t="inlineStr">
        <is>
          <t>Rápida (&lt; 30 dias)</t>
        </is>
      </c>
      <c r="D202" s="20" t="inlineStr">
        <is>
          <t>Dez/24</t>
        </is>
      </c>
      <c r="E202" s="20" t="inlineStr">
        <is>
          <t>Não</t>
        </is>
      </c>
      <c r="F202" s="21" t="n">
        <v>45636</v>
      </c>
      <c r="G202" s="21" t="n">
        <v>45654</v>
      </c>
      <c r="H202" s="20" t="n">
        <v>18</v>
      </c>
      <c r="I202" s="20" t="inlineStr">
        <is>
          <t>Pro</t>
        </is>
      </c>
      <c r="J202" s="20" t="inlineStr">
        <is>
          <t>Anual</t>
        </is>
      </c>
      <c r="K202" s="20" t="n">
        <v>18</v>
      </c>
      <c r="L202" s="20" t="inlineStr">
        <is>
          <t>11–20</t>
        </is>
      </c>
      <c r="M202" s="20" t="inlineStr">
        <is>
          <t>CA</t>
        </is>
      </c>
      <c r="N202" s="20" t="inlineStr">
        <is>
          <t>Redução</t>
        </is>
      </c>
      <c r="O202" s="20" t="inlineStr">
        <is>
          <t>Redução</t>
        </is>
      </c>
      <c r="P202" s="20" t="inlineStr">
        <is>
          <t>Redução</t>
        </is>
      </c>
      <c r="Q202" s="20" t="n">
        <v>12</v>
      </c>
      <c r="R202" s="20" t="inlineStr"/>
      <c r="S202" s="20" t="inlineStr"/>
      <c r="T202" s="20" t="inlineStr"/>
      <c r="U202" s="20" t="inlineStr"/>
      <c r="V202" s="20" t="inlineStr"/>
      <c r="W202" s="20" t="inlineStr">
        <is>
          <t>Não</t>
        </is>
      </c>
    </row>
    <row r="203">
      <c r="A203" s="20" t="inlineStr">
        <is>
          <t>S-ce5450</t>
        </is>
      </c>
      <c r="B203" s="20" t="inlineStr">
        <is>
          <t>A-0a282f</t>
        </is>
      </c>
      <c r="C203" s="20" t="inlineStr">
        <is>
          <t>Rápida (&lt; 30 dias)</t>
        </is>
      </c>
      <c r="D203" s="20" t="inlineStr">
        <is>
          <t>Dez/24</t>
        </is>
      </c>
      <c r="E203" s="20" t="inlineStr">
        <is>
          <t>Não</t>
        </is>
      </c>
      <c r="F203" s="21" t="n">
        <v>45651</v>
      </c>
      <c r="G203" s="21" t="n">
        <v>45654</v>
      </c>
      <c r="H203" s="20" t="n">
        <v>3</v>
      </c>
      <c r="I203" s="20" t="inlineStr">
        <is>
          <t>Pro</t>
        </is>
      </c>
      <c r="J203" s="20" t="inlineStr">
        <is>
          <t>Anual</t>
        </is>
      </c>
      <c r="K203" s="20" t="n">
        <v>8</v>
      </c>
      <c r="L203" s="20" t="inlineStr">
        <is>
          <t>06–10</t>
        </is>
      </c>
      <c r="M203" s="20" t="inlineStr">
        <is>
          <t>US</t>
        </is>
      </c>
      <c r="N203" s="20" t="inlineStr">
        <is>
          <t>Troca/ajuste</t>
        </is>
      </c>
      <c r="O203" s="20" t="inlineStr">
        <is>
          <t>Troca/ajuste</t>
        </is>
      </c>
      <c r="P203" s="20" t="inlineStr">
        <is>
          <t>Troca/ajuste</t>
        </is>
      </c>
      <c r="Q203" s="20" t="n">
        <v>12</v>
      </c>
      <c r="R203" s="20" t="inlineStr">
        <is>
          <t>S-9c414f</t>
        </is>
      </c>
      <c r="S203" s="20" t="inlineStr">
        <is>
          <t>S-9c414f</t>
        </is>
      </c>
      <c r="T203" s="20" t="inlineStr">
        <is>
          <t>Mesmo plano</t>
        </is>
      </c>
      <c r="U203" s="20" t="inlineStr">
        <is>
          <t>Mesma cobrança</t>
        </is>
      </c>
      <c r="V203" s="20" t="inlineStr">
        <is>
          <t>Menos seats</t>
        </is>
      </c>
      <c r="W203" s="20" t="inlineStr">
        <is>
          <t>Sim</t>
        </is>
      </c>
    </row>
    <row r="204">
      <c r="A204" s="20" t="inlineStr">
        <is>
          <t>S-f243c1</t>
        </is>
      </c>
      <c r="B204" s="20" t="inlineStr">
        <is>
          <t>A-e888d1</t>
        </is>
      </c>
      <c r="C204" s="20" t="inlineStr">
        <is>
          <t>Lenta (30+ dias)</t>
        </is>
      </c>
      <c r="D204" s="20" t="inlineStr">
        <is>
          <t>Dez/24</t>
        </is>
      </c>
      <c r="E204" s="20" t="inlineStr">
        <is>
          <t>Não</t>
        </is>
      </c>
      <c r="F204" s="21" t="n">
        <v>45363</v>
      </c>
      <c r="G204" s="21" t="n">
        <v>45654</v>
      </c>
      <c r="H204" s="20" t="n">
        <v>291</v>
      </c>
      <c r="I204" s="20" t="inlineStr">
        <is>
          <t>Pro</t>
        </is>
      </c>
      <c r="J204" s="20" t="inlineStr">
        <is>
          <t>Anual</t>
        </is>
      </c>
      <c r="K204" s="20" t="n">
        <v>14</v>
      </c>
      <c r="L204" s="20" t="inlineStr">
        <is>
          <t>11–20</t>
        </is>
      </c>
      <c r="M204" s="20" t="inlineStr">
        <is>
          <t>US</t>
        </is>
      </c>
      <c r="N204" s="20" t="inlineStr">
        <is>
          <t>Redução</t>
        </is>
      </c>
      <c r="O204" s="20" t="inlineStr">
        <is>
          <t>Redução</t>
        </is>
      </c>
      <c r="P204" s="20" t="inlineStr">
        <is>
          <t>Troca/ajuste</t>
        </is>
      </c>
      <c r="Q204" s="20" t="n">
        <v>9</v>
      </c>
      <c r="R204" s="20" t="inlineStr"/>
      <c r="S204" s="20" t="inlineStr"/>
      <c r="T204" s="20" t="inlineStr"/>
      <c r="U204" s="20" t="inlineStr"/>
      <c r="V204" s="20" t="inlineStr"/>
      <c r="W204" s="20" t="inlineStr">
        <is>
          <t>Sim</t>
        </is>
      </c>
    </row>
    <row r="205">
      <c r="A205" s="20" t="inlineStr">
        <is>
          <t>S-2c11c6</t>
        </is>
      </c>
      <c r="B205" s="20" t="inlineStr">
        <is>
          <t>A-76fa4d</t>
        </is>
      </c>
      <c r="C205" s="20" t="inlineStr">
        <is>
          <t>Rápida (&lt; 30 dias)</t>
        </is>
      </c>
      <c r="D205" s="20" t="inlineStr">
        <is>
          <t>Dez/24</t>
        </is>
      </c>
      <c r="E205" s="20" t="inlineStr">
        <is>
          <t>Não</t>
        </is>
      </c>
      <c r="F205" s="21" t="n">
        <v>45634</v>
      </c>
      <c r="G205" s="21" t="n">
        <v>45654</v>
      </c>
      <c r="H205" s="20" t="n">
        <v>20</v>
      </c>
      <c r="I205" s="20" t="inlineStr">
        <is>
          <t>Pro</t>
        </is>
      </c>
      <c r="J205" s="20" t="inlineStr">
        <is>
          <t>Mensal</t>
        </is>
      </c>
      <c r="K205" s="20" t="n">
        <v>69</v>
      </c>
      <c r="L205" s="20" t="inlineStr">
        <is>
          <t>41–80</t>
        </is>
      </c>
      <c r="M205" s="20" t="inlineStr">
        <is>
          <t>US</t>
        </is>
      </c>
      <c r="N205" s="20" t="inlineStr">
        <is>
          <t>Troca/ajuste</t>
        </is>
      </c>
      <c r="O205" s="20" t="inlineStr">
        <is>
          <t>Redução</t>
        </is>
      </c>
      <c r="P205" s="20" t="inlineStr">
        <is>
          <t>Troca/ajuste</t>
        </is>
      </c>
      <c r="Q205" s="20" t="n">
        <v>6</v>
      </c>
      <c r="R205" s="20" t="inlineStr">
        <is>
          <t>S-b01b1c</t>
        </is>
      </c>
      <c r="S205" s="20" t="inlineStr">
        <is>
          <t>S-b01b1c</t>
        </is>
      </c>
      <c r="T205" s="20" t="inlineStr">
        <is>
          <t>Mesmo plano</t>
        </is>
      </c>
      <c r="U205" s="20" t="inlineStr">
        <is>
          <t>Mesma cobrança</t>
        </is>
      </c>
      <c r="V205" s="20" t="inlineStr">
        <is>
          <t>Mesmos seats</t>
        </is>
      </c>
      <c r="W205" s="20" t="inlineStr">
        <is>
          <t>Sim</t>
        </is>
      </c>
    </row>
    <row r="206">
      <c r="A206" s="20" t="inlineStr">
        <is>
          <t>S-1bd2ec</t>
        </is>
      </c>
      <c r="B206" s="20" t="inlineStr">
        <is>
          <t>A-e60f9d</t>
        </is>
      </c>
      <c r="C206" s="20" t="inlineStr">
        <is>
          <t>Rápida (&lt; 30 dias)</t>
        </is>
      </c>
      <c r="D206" s="20" t="inlineStr">
        <is>
          <t>Dez/24</t>
        </is>
      </c>
      <c r="E206" s="20" t="inlineStr">
        <is>
          <t>Não</t>
        </is>
      </c>
      <c r="F206" s="21" t="n">
        <v>45651</v>
      </c>
      <c r="G206" s="21" t="n">
        <v>45654</v>
      </c>
      <c r="H206" s="20" t="n">
        <v>3</v>
      </c>
      <c r="I206" s="20" t="inlineStr">
        <is>
          <t>Basic</t>
        </is>
      </c>
      <c r="J206" s="20" t="inlineStr">
        <is>
          <t>Anual</t>
        </is>
      </c>
      <c r="K206" s="20" t="n">
        <v>38</v>
      </c>
      <c r="L206" s="20" t="inlineStr">
        <is>
          <t>21–40</t>
        </is>
      </c>
      <c r="M206" s="20" t="inlineStr">
        <is>
          <t>US</t>
        </is>
      </c>
      <c r="N206" s="20" t="inlineStr">
        <is>
          <t>Troca/ajuste</t>
        </is>
      </c>
      <c r="O206" s="20" t="inlineStr">
        <is>
          <t>Redução</t>
        </is>
      </c>
      <c r="P206" s="20" t="inlineStr">
        <is>
          <t>Troca/ajuste</t>
        </is>
      </c>
      <c r="Q206" s="20" t="n">
        <v>13</v>
      </c>
      <c r="R206" s="20" t="inlineStr">
        <is>
          <t>S-3867d6</t>
        </is>
      </c>
      <c r="S206" s="20" t="inlineStr">
        <is>
          <t>S-3867d6</t>
        </is>
      </c>
      <c r="T206" s="20" t="inlineStr">
        <is>
          <t>Plano acima</t>
        </is>
      </c>
      <c r="U206" s="20" t="inlineStr">
        <is>
          <t>Mesma cobrança</t>
        </is>
      </c>
      <c r="V206" s="20" t="inlineStr">
        <is>
          <t>Menos seats</t>
        </is>
      </c>
      <c r="W206" s="20" t="inlineStr">
        <is>
          <t>Não</t>
        </is>
      </c>
    </row>
    <row r="207">
      <c r="A207" s="20" t="inlineStr">
        <is>
          <t>S-f5f5b3</t>
        </is>
      </c>
      <c r="B207" s="20" t="inlineStr">
        <is>
          <t>A-89ee83</t>
        </is>
      </c>
      <c r="C207" s="20" t="inlineStr">
        <is>
          <t>Rápida (&lt; 30 dias)</t>
        </is>
      </c>
      <c r="D207" s="20" t="inlineStr">
        <is>
          <t>Dez/24</t>
        </is>
      </c>
      <c r="E207" s="20" t="inlineStr">
        <is>
          <t>Sim</t>
        </is>
      </c>
      <c r="F207" s="21" t="n">
        <v>45652</v>
      </c>
      <c r="G207" s="21" t="n">
        <v>45655</v>
      </c>
      <c r="H207" s="20" t="n">
        <v>3</v>
      </c>
      <c r="I207" s="20" t="inlineStr">
        <is>
          <t>Basic</t>
        </is>
      </c>
      <c r="J207" s="20" t="inlineStr">
        <is>
          <t>Anual</t>
        </is>
      </c>
      <c r="K207" s="20" t="n">
        <v>10</v>
      </c>
      <c r="L207" s="20" t="inlineStr">
        <is>
          <t>06–10</t>
        </is>
      </c>
      <c r="M207" s="20" t="inlineStr">
        <is>
          <t>US</t>
        </is>
      </c>
      <c r="N207" s="20" t="inlineStr">
        <is>
          <t>Troca/ajuste</t>
        </is>
      </c>
      <c r="O207" s="20" t="inlineStr">
        <is>
          <t>Troca/ajuste</t>
        </is>
      </c>
      <c r="P207" s="20" t="inlineStr">
        <is>
          <t>Troca/ajuste</t>
        </is>
      </c>
      <c r="Q207" s="20" t="n">
        <v>10</v>
      </c>
      <c r="R207" s="20" t="inlineStr">
        <is>
          <t>S-bf304b</t>
        </is>
      </c>
      <c r="S207" s="20" t="inlineStr">
        <is>
          <t>S-bf304b</t>
        </is>
      </c>
      <c r="T207" s="20" t="inlineStr">
        <is>
          <t>Plano acima</t>
        </is>
      </c>
      <c r="U207" s="20" t="inlineStr">
        <is>
          <t>Mudou para mensal</t>
        </is>
      </c>
      <c r="V207" s="20" t="inlineStr">
        <is>
          <t>Mais seats</t>
        </is>
      </c>
      <c r="W207" s="20" t="inlineStr">
        <is>
          <t>Não</t>
        </is>
      </c>
    </row>
    <row r="208">
      <c r="A208" s="20" t="inlineStr">
        <is>
          <t>S-80af53</t>
        </is>
      </c>
      <c r="B208" s="20" t="inlineStr">
        <is>
          <t>A-fd7ad3</t>
        </is>
      </c>
      <c r="C208" s="20" t="inlineStr">
        <is>
          <t>Rápida (&lt; 30 dias)</t>
        </is>
      </c>
      <c r="D208" s="20" t="inlineStr">
        <is>
          <t>Dez/24</t>
        </is>
      </c>
      <c r="E208" s="20" t="inlineStr">
        <is>
          <t>Sim</t>
        </is>
      </c>
      <c r="F208" s="21" t="n">
        <v>45649</v>
      </c>
      <c r="G208" s="21" t="n">
        <v>45655</v>
      </c>
      <c r="H208" s="20" t="n">
        <v>6</v>
      </c>
      <c r="I208" s="20" t="inlineStr">
        <is>
          <t>Enterprise</t>
        </is>
      </c>
      <c r="J208" s="20" t="inlineStr">
        <is>
          <t>Mensal</t>
        </is>
      </c>
      <c r="K208" s="20" t="n">
        <v>12</v>
      </c>
      <c r="L208" s="20" t="inlineStr">
        <is>
          <t>11–20</t>
        </is>
      </c>
      <c r="M208" s="20" t="inlineStr">
        <is>
          <t>US</t>
        </is>
      </c>
      <c r="N208" s="20" t="inlineStr">
        <is>
          <t>Troca/ajuste</t>
        </is>
      </c>
      <c r="O208" s="20" t="inlineStr">
        <is>
          <t>Troca/ajuste</t>
        </is>
      </c>
      <c r="P208" s="20" t="inlineStr">
        <is>
          <t>Troca/ajuste</t>
        </is>
      </c>
      <c r="Q208" s="20" t="n">
        <v>8</v>
      </c>
      <c r="R208" s="20" t="inlineStr">
        <is>
          <t>S-4f43fd</t>
        </is>
      </c>
      <c r="S208" s="20" t="inlineStr">
        <is>
          <t>S-4f43fd</t>
        </is>
      </c>
      <c r="T208" s="20" t="inlineStr">
        <is>
          <t>Plano abaixo</t>
        </is>
      </c>
      <c r="U208" s="20" t="inlineStr">
        <is>
          <t>Mesma cobrança</t>
        </is>
      </c>
      <c r="V208" s="20" t="inlineStr">
        <is>
          <t>Mais seats</t>
        </is>
      </c>
      <c r="W208" s="20" t="inlineStr">
        <is>
          <t>Sim</t>
        </is>
      </c>
    </row>
    <row r="209">
      <c r="A209" s="20" t="inlineStr">
        <is>
          <t>S-826d19</t>
        </is>
      </c>
      <c r="B209" s="20" t="inlineStr">
        <is>
          <t>A-5790f4</t>
        </is>
      </c>
      <c r="C209" s="20" t="inlineStr">
        <is>
          <t>Rápida (&lt; 30 dias)</t>
        </is>
      </c>
      <c r="D209" s="20" t="inlineStr">
        <is>
          <t>Dez/24</t>
        </is>
      </c>
      <c r="E209" s="20" t="inlineStr">
        <is>
          <t>Sim</t>
        </is>
      </c>
      <c r="F209" s="21" t="n">
        <v>45652</v>
      </c>
      <c r="G209" s="21" t="n">
        <v>45655</v>
      </c>
      <c r="H209" s="20" t="n">
        <v>3</v>
      </c>
      <c r="I209" s="20" t="inlineStr">
        <is>
          <t>Enterprise</t>
        </is>
      </c>
      <c r="J209" s="20" t="inlineStr">
        <is>
          <t>Anual</t>
        </is>
      </c>
      <c r="K209" s="20" t="n">
        <v>8</v>
      </c>
      <c r="L209" s="20" t="inlineStr">
        <is>
          <t>06–10</t>
        </is>
      </c>
      <c r="M209" s="20" t="inlineStr">
        <is>
          <t>UK</t>
        </is>
      </c>
      <c r="N209" s="20" t="inlineStr">
        <is>
          <t>Troca/ajuste</t>
        </is>
      </c>
      <c r="O209" s="20" t="inlineStr">
        <is>
          <t>Troca/ajuste</t>
        </is>
      </c>
      <c r="P209" s="20" t="inlineStr">
        <is>
          <t>Troca/ajuste</t>
        </is>
      </c>
      <c r="Q209" s="20" t="n">
        <v>5</v>
      </c>
      <c r="R209" s="20" t="inlineStr">
        <is>
          <t>S-eabe72, S-3dc46b, S-8f181e, S-ae4310, S-a7da97</t>
        </is>
      </c>
      <c r="S209" s="20" t="inlineStr">
        <is>
          <t>S-eabe72</t>
        </is>
      </c>
      <c r="T209" s="20" t="inlineStr">
        <is>
          <t>Plano abaixo</t>
        </is>
      </c>
      <c r="U209" s="20" t="inlineStr">
        <is>
          <t>Mudou para mensal</t>
        </is>
      </c>
      <c r="V209" s="20" t="inlineStr">
        <is>
          <t>Mais seats</t>
        </is>
      </c>
      <c r="W209" s="20" t="inlineStr">
        <is>
          <t>Sim</t>
        </is>
      </c>
    </row>
    <row r="210">
      <c r="A210" s="20" t="inlineStr">
        <is>
          <t>S-404132</t>
        </is>
      </c>
      <c r="B210" s="20" t="inlineStr">
        <is>
          <t>A-39ddf4</t>
        </is>
      </c>
      <c r="C210" s="20" t="inlineStr">
        <is>
          <t>Rápida (&lt; 30 dias)</t>
        </is>
      </c>
      <c r="D210" s="20" t="inlineStr">
        <is>
          <t>Dez/24</t>
        </is>
      </c>
      <c r="E210" s="20" t="inlineStr">
        <is>
          <t>Sim</t>
        </is>
      </c>
      <c r="F210" s="21" t="n">
        <v>45646</v>
      </c>
      <c r="G210" s="21" t="n">
        <v>45655</v>
      </c>
      <c r="H210" s="20" t="n">
        <v>9</v>
      </c>
      <c r="I210" s="20" t="inlineStr">
        <is>
          <t>Pro</t>
        </is>
      </c>
      <c r="J210" s="20" t="inlineStr">
        <is>
          <t>Anual</t>
        </is>
      </c>
      <c r="K210" s="20" t="n">
        <v>40</v>
      </c>
      <c r="L210" s="20" t="inlineStr">
        <is>
          <t>21–40</t>
        </is>
      </c>
      <c r="M210" s="20" t="inlineStr">
        <is>
          <t>US</t>
        </is>
      </c>
      <c r="N210" s="20" t="inlineStr">
        <is>
          <t>Troca/ajuste</t>
        </is>
      </c>
      <c r="O210" s="20" t="inlineStr">
        <is>
          <t>Troca/ajuste</t>
        </is>
      </c>
      <c r="P210" s="20" t="inlineStr">
        <is>
          <t>Troca/ajuste</t>
        </is>
      </c>
      <c r="Q210" s="20" t="n">
        <v>7</v>
      </c>
      <c r="R210" s="20" t="inlineStr">
        <is>
          <t>S-96383d, S-4c8ab8, S-d69e2c, S-cdd281, S-c57c91</t>
        </is>
      </c>
      <c r="S210" s="20" t="inlineStr">
        <is>
          <t>S-96383d</t>
        </is>
      </c>
      <c r="T210" s="20" t="inlineStr">
        <is>
          <t>Plano acima</t>
        </is>
      </c>
      <c r="U210" s="20" t="inlineStr">
        <is>
          <t>Mesma cobrança</t>
        </is>
      </c>
      <c r="V210" s="20" t="inlineStr">
        <is>
          <t>Mesmos seats</t>
        </is>
      </c>
      <c r="W210" s="20" t="inlineStr">
        <is>
          <t>Sim</t>
        </is>
      </c>
    </row>
    <row r="211">
      <c r="A211" s="20" t="inlineStr">
        <is>
          <t>S-d19216</t>
        </is>
      </c>
      <c r="B211" s="20" t="inlineStr">
        <is>
          <t>A-17939a</t>
        </is>
      </c>
      <c r="C211" s="20" t="inlineStr">
        <is>
          <t>Rápida (&lt; 30 dias)</t>
        </is>
      </c>
      <c r="D211" s="20" t="inlineStr">
        <is>
          <t>Dez/24</t>
        </is>
      </c>
      <c r="E211" s="20" t="inlineStr">
        <is>
          <t>Sim</t>
        </is>
      </c>
      <c r="F211" s="21" t="n">
        <v>45654</v>
      </c>
      <c r="G211" s="21" t="n">
        <v>45655</v>
      </c>
      <c r="H211" s="20" t="n">
        <v>1</v>
      </c>
      <c r="I211" s="20" t="inlineStr">
        <is>
          <t>Basic</t>
        </is>
      </c>
      <c r="J211" s="20" t="inlineStr">
        <is>
          <t>Mensal</t>
        </is>
      </c>
      <c r="K211" s="20" t="n">
        <v>86</v>
      </c>
      <c r="L211" s="20" t="inlineStr">
        <is>
          <t>81 ou mais</t>
        </is>
      </c>
      <c r="M211" s="20" t="inlineStr">
        <is>
          <t>US</t>
        </is>
      </c>
      <c r="N211" s="20" t="inlineStr">
        <is>
          <t>Troca/ajuste</t>
        </is>
      </c>
      <c r="O211" s="20" t="inlineStr">
        <is>
          <t>Troca/ajuste</t>
        </is>
      </c>
      <c r="P211" s="20" t="inlineStr">
        <is>
          <t>Troca/ajuste</t>
        </is>
      </c>
      <c r="Q211" s="20" t="n">
        <v>6</v>
      </c>
      <c r="R211" s="20" t="inlineStr">
        <is>
          <t>S-65dbf3, S-a4b1af, S-b57a5e, S-2a6e4a, S-4c7591, S-8707e7, S-b8d2f6, S-3c9178, S-06447b, S-9c1bcb</t>
        </is>
      </c>
      <c r="S211" s="20" t="inlineStr">
        <is>
          <t>S-3c9178</t>
        </is>
      </c>
      <c r="T211" s="20" t="inlineStr">
        <is>
          <t>Mesmo plano</t>
        </is>
      </c>
      <c r="U211" s="20" t="inlineStr">
        <is>
          <t>Mesma cobrança</t>
        </is>
      </c>
      <c r="V211" s="20" t="inlineStr">
        <is>
          <t>Menos seats</t>
        </is>
      </c>
      <c r="W211" s="20" t="inlineStr">
        <is>
          <t>Não</t>
        </is>
      </c>
    </row>
    <row r="212">
      <c r="A212" s="20" t="inlineStr">
        <is>
          <t>S-d1a6c6</t>
        </is>
      </c>
      <c r="B212" s="20" t="inlineStr">
        <is>
          <t>A-443b7c</t>
        </is>
      </c>
      <c r="C212" s="20" t="inlineStr">
        <is>
          <t>Rápida (&lt; 30 dias)</t>
        </is>
      </c>
      <c r="D212" s="20" t="inlineStr">
        <is>
          <t>Dez/24</t>
        </is>
      </c>
      <c r="E212" s="20" t="inlineStr">
        <is>
          <t>Sim</t>
        </is>
      </c>
      <c r="F212" s="21" t="n">
        <v>45652</v>
      </c>
      <c r="G212" s="21" t="n">
        <v>45655</v>
      </c>
      <c r="H212" s="20" t="n">
        <v>3</v>
      </c>
      <c r="I212" s="20" t="inlineStr">
        <is>
          <t>Basic</t>
        </is>
      </c>
      <c r="J212" s="20" t="inlineStr">
        <is>
          <t>Mensal</t>
        </is>
      </c>
      <c r="K212" s="20" t="n">
        <v>17</v>
      </c>
      <c r="L212" s="20" t="inlineStr">
        <is>
          <t>11–20</t>
        </is>
      </c>
      <c r="M212" s="20" t="inlineStr">
        <is>
          <t>US</t>
        </is>
      </c>
      <c r="N212" s="20" t="inlineStr">
        <is>
          <t>Troca/ajuste</t>
        </is>
      </c>
      <c r="O212" s="20" t="inlineStr">
        <is>
          <t>Troca/ajuste</t>
        </is>
      </c>
      <c r="P212" s="20" t="inlineStr">
        <is>
          <t>Troca/ajuste</t>
        </is>
      </c>
      <c r="Q212" s="20" t="n">
        <v>14</v>
      </c>
      <c r="R212" s="20" t="inlineStr">
        <is>
          <t>S-1e83a6</t>
        </is>
      </c>
      <c r="S212" s="20" t="inlineStr">
        <is>
          <t>S-1e83a6</t>
        </is>
      </c>
      <c r="T212" s="20" t="inlineStr">
        <is>
          <t>Mesmo plano</t>
        </is>
      </c>
      <c r="U212" s="20" t="inlineStr">
        <is>
          <t>Mudou para anual</t>
        </is>
      </c>
      <c r="V212" s="20" t="inlineStr">
        <is>
          <t>Menos seats</t>
        </is>
      </c>
      <c r="W212" s="20" t="inlineStr">
        <is>
          <t>Não</t>
        </is>
      </c>
    </row>
    <row r="213">
      <c r="A213" s="20" t="inlineStr">
        <is>
          <t>S-51cb35</t>
        </is>
      </c>
      <c r="B213" s="20" t="inlineStr">
        <is>
          <t>A-18793f</t>
        </is>
      </c>
      <c r="C213" s="20" t="inlineStr">
        <is>
          <t>Rápida (&lt; 30 dias)</t>
        </is>
      </c>
      <c r="D213" s="20" t="inlineStr">
        <is>
          <t>Dez/24</t>
        </is>
      </c>
      <c r="E213" s="20" t="inlineStr">
        <is>
          <t>Sim</t>
        </is>
      </c>
      <c r="F213" s="21" t="n">
        <v>45646</v>
      </c>
      <c r="G213" s="21" t="n">
        <v>45655</v>
      </c>
      <c r="H213" s="20" t="n">
        <v>9</v>
      </c>
      <c r="I213" s="20" t="inlineStr">
        <is>
          <t>Basic</t>
        </is>
      </c>
      <c r="J213" s="20" t="inlineStr">
        <is>
          <t>Anual</t>
        </is>
      </c>
      <c r="K213" s="20" t="n">
        <v>148</v>
      </c>
      <c r="L213" s="20" t="inlineStr">
        <is>
          <t>81 ou mais</t>
        </is>
      </c>
      <c r="M213" s="20" t="inlineStr">
        <is>
          <t>US</t>
        </is>
      </c>
      <c r="N213" s="20" t="inlineStr">
        <is>
          <t>Troca/ajuste</t>
        </is>
      </c>
      <c r="O213" s="20" t="inlineStr">
        <is>
          <t>Troca/ajuste</t>
        </is>
      </c>
      <c r="P213" s="20" t="inlineStr">
        <is>
          <t>Troca/ajuste</t>
        </is>
      </c>
      <c r="Q213" s="20" t="n">
        <v>9</v>
      </c>
      <c r="R213" s="20" t="inlineStr">
        <is>
          <t>S-e2d4e9, S-88de1c, S-429220, S-58a7c0, S-2fd486, S-e854de, S-74f146</t>
        </is>
      </c>
      <c r="S213" s="20" t="inlineStr">
        <is>
          <t>S-429220</t>
        </is>
      </c>
      <c r="T213" s="20" t="inlineStr">
        <is>
          <t>Plano acima</t>
        </is>
      </c>
      <c r="U213" s="20" t="inlineStr">
        <is>
          <t>Mudou para mensal</t>
        </is>
      </c>
      <c r="V213" s="20" t="inlineStr">
        <is>
          <t>Mesmos seats</t>
        </is>
      </c>
      <c r="W213" s="20" t="inlineStr">
        <is>
          <t>Sim</t>
        </is>
      </c>
    </row>
    <row r="214">
      <c r="A214" s="20" t="inlineStr">
        <is>
          <t>S-4afb53</t>
        </is>
      </c>
      <c r="B214" s="20" t="inlineStr">
        <is>
          <t>A-40de06</t>
        </is>
      </c>
      <c r="C214" s="20" t="inlineStr">
        <is>
          <t>Lenta (30+ dias)</t>
        </is>
      </c>
      <c r="D214" s="20" t="inlineStr">
        <is>
          <t>Dez/24</t>
        </is>
      </c>
      <c r="E214" s="20" t="inlineStr">
        <is>
          <t>Sim</t>
        </is>
      </c>
      <c r="F214" s="21" t="n">
        <v>45272</v>
      </c>
      <c r="G214" s="21" t="n">
        <v>45655</v>
      </c>
      <c r="H214" s="20" t="n">
        <v>383</v>
      </c>
      <c r="I214" s="20" t="inlineStr">
        <is>
          <t>Enterprise</t>
        </is>
      </c>
      <c r="J214" s="20" t="inlineStr">
        <is>
          <t>Mensal</t>
        </is>
      </c>
      <c r="K214" s="20" t="n">
        <v>28</v>
      </c>
      <c r="L214" s="20" t="inlineStr">
        <is>
          <t>21–40</t>
        </is>
      </c>
      <c r="M214" s="20" t="inlineStr">
        <is>
          <t>US</t>
        </is>
      </c>
      <c r="N214" s="20" t="inlineStr">
        <is>
          <t>Redução</t>
        </is>
      </c>
      <c r="O214" s="20" t="inlineStr">
        <is>
          <t>Redução</t>
        </is>
      </c>
      <c r="P214" s="20" t="inlineStr">
        <is>
          <t>Redução</t>
        </is>
      </c>
      <c r="Q214" s="20" t="n">
        <v>14</v>
      </c>
      <c r="R214" s="20" t="inlineStr"/>
      <c r="S214" s="20" t="inlineStr"/>
      <c r="T214" s="20" t="inlineStr"/>
      <c r="U214" s="20" t="inlineStr"/>
      <c r="V214" s="20" t="inlineStr"/>
      <c r="W214" s="20" t="inlineStr">
        <is>
          <t>Não</t>
        </is>
      </c>
    </row>
    <row r="215">
      <c r="A215" s="20" t="inlineStr">
        <is>
          <t>S-038f6f</t>
        </is>
      </c>
      <c r="B215" s="20" t="inlineStr">
        <is>
          <t>A-82d8a6</t>
        </is>
      </c>
      <c r="C215" s="20" t="inlineStr">
        <is>
          <t>Rápida (&lt; 30 dias)</t>
        </is>
      </c>
      <c r="D215" s="20" t="inlineStr">
        <is>
          <t>Dez/24</t>
        </is>
      </c>
      <c r="E215" s="20" t="inlineStr">
        <is>
          <t>Sim</t>
        </is>
      </c>
      <c r="F215" s="21" t="n">
        <v>45640</v>
      </c>
      <c r="G215" s="21" t="n">
        <v>45655</v>
      </c>
      <c r="H215" s="20" t="n">
        <v>15</v>
      </c>
      <c r="I215" s="20" t="inlineStr">
        <is>
          <t>Enterprise</t>
        </is>
      </c>
      <c r="J215" s="20" t="inlineStr">
        <is>
          <t>Mensal</t>
        </is>
      </c>
      <c r="K215" s="20" t="n">
        <v>10</v>
      </c>
      <c r="L215" s="20" t="inlineStr">
        <is>
          <t>06–10</t>
        </is>
      </c>
      <c r="M215" s="20" t="inlineStr">
        <is>
          <t>UK</t>
        </is>
      </c>
      <c r="N215" s="20" t="inlineStr">
        <is>
          <t>Troca/ajuste</t>
        </is>
      </c>
      <c r="O215" s="20" t="inlineStr">
        <is>
          <t>Troca/ajuste</t>
        </is>
      </c>
      <c r="P215" s="20" t="inlineStr">
        <is>
          <t>Troca/ajuste</t>
        </is>
      </c>
      <c r="Q215" s="20" t="n">
        <v>13</v>
      </c>
      <c r="R215" s="20" t="inlineStr">
        <is>
          <t>S-44fba6, S-51b668, S-fb285f, S-9d7c19, S-2f11bb, S-c3b622, S-c15f06, S-8442d1</t>
        </is>
      </c>
      <c r="S215" s="20" t="inlineStr">
        <is>
          <t>S-2f11bb</t>
        </is>
      </c>
      <c r="T215" s="20" t="inlineStr">
        <is>
          <t>Plano abaixo</t>
        </is>
      </c>
      <c r="U215" s="20" t="inlineStr">
        <is>
          <t>Mudou para anual</t>
        </is>
      </c>
      <c r="V215" s="20" t="inlineStr">
        <is>
          <t>Menos seats</t>
        </is>
      </c>
      <c r="W215" s="20" t="inlineStr">
        <is>
          <t>Sim</t>
        </is>
      </c>
    </row>
    <row r="216">
      <c r="A216" s="20" t="inlineStr">
        <is>
          <t>S-6f488b</t>
        </is>
      </c>
      <c r="B216" s="20" t="inlineStr">
        <is>
          <t>A-d27f50</t>
        </is>
      </c>
      <c r="C216" s="20" t="inlineStr">
        <is>
          <t>Rápida (&lt; 30 dias)</t>
        </is>
      </c>
      <c r="D216" s="20" t="inlineStr">
        <is>
          <t>Dez/24</t>
        </is>
      </c>
      <c r="E216" s="20" t="inlineStr">
        <is>
          <t>Sim</t>
        </is>
      </c>
      <c r="F216" s="21" t="n">
        <v>45655</v>
      </c>
      <c r="G216" s="21" t="n">
        <v>45655</v>
      </c>
      <c r="H216" s="20" t="n">
        <v>0</v>
      </c>
      <c r="I216" s="20" t="inlineStr">
        <is>
          <t>Basic</t>
        </is>
      </c>
      <c r="J216" s="20" t="inlineStr">
        <is>
          <t>Anual</t>
        </is>
      </c>
      <c r="K216" s="20" t="n">
        <v>44</v>
      </c>
      <c r="L216" s="20" t="inlineStr">
        <is>
          <t>41–80</t>
        </is>
      </c>
      <c r="M216" s="20" t="inlineStr">
        <is>
          <t>UK</t>
        </is>
      </c>
      <c r="N216" s="20" t="inlineStr">
        <is>
          <t>Redução</t>
        </is>
      </c>
      <c r="O216" s="20" t="inlineStr">
        <is>
          <t>Redução</t>
        </is>
      </c>
      <c r="P216" s="20" t="inlineStr">
        <is>
          <t>Troca/ajuste</t>
        </is>
      </c>
      <c r="Q216" s="20" t="n">
        <v>9</v>
      </c>
      <c r="R216" s="20" t="inlineStr"/>
      <c r="S216" s="20" t="inlineStr"/>
      <c r="T216" s="20" t="inlineStr"/>
      <c r="U216" s="20" t="inlineStr"/>
      <c r="V216" s="20" t="inlineStr"/>
      <c r="W216" s="20" t="inlineStr">
        <is>
          <t>Não</t>
        </is>
      </c>
    </row>
    <row r="217">
      <c r="A217" s="20" t="inlineStr">
        <is>
          <t>S-aff55c</t>
        </is>
      </c>
      <c r="B217" s="20" t="inlineStr">
        <is>
          <t>A-bb2f49</t>
        </is>
      </c>
      <c r="C217" s="20" t="inlineStr">
        <is>
          <t>Lenta (30+ dias)</t>
        </is>
      </c>
      <c r="D217" s="20" t="inlineStr">
        <is>
          <t>Dez/24</t>
        </is>
      </c>
      <c r="E217" s="20" t="inlineStr">
        <is>
          <t>Sim</t>
        </is>
      </c>
      <c r="F217" s="21" t="n">
        <v>45305</v>
      </c>
      <c r="G217" s="21" t="n">
        <v>45655</v>
      </c>
      <c r="H217" s="20" t="n">
        <v>350</v>
      </c>
      <c r="I217" s="20" t="inlineStr">
        <is>
          <t>Pro</t>
        </is>
      </c>
      <c r="J217" s="20" t="inlineStr">
        <is>
          <t>Mensal</t>
        </is>
      </c>
      <c r="K217" s="20" t="n">
        <v>8</v>
      </c>
      <c r="L217" s="20" t="inlineStr">
        <is>
          <t>06–10</t>
        </is>
      </c>
      <c r="M217" s="20" t="inlineStr">
        <is>
          <t>US</t>
        </is>
      </c>
      <c r="N217" s="20" t="inlineStr">
        <is>
          <t>Troca/ajuste</t>
        </is>
      </c>
      <c r="O217" s="20" t="inlineStr">
        <is>
          <t>Troca/ajuste</t>
        </is>
      </c>
      <c r="P217" s="20" t="inlineStr">
        <is>
          <t>Troca/ajuste</t>
        </is>
      </c>
      <c r="Q217" s="20" t="n">
        <v>10</v>
      </c>
      <c r="R217" s="20" t="inlineStr">
        <is>
          <t>S-e44831</t>
        </is>
      </c>
      <c r="S217" s="20" t="inlineStr">
        <is>
          <t>S-e44831</t>
        </is>
      </c>
      <c r="T217" s="20" t="inlineStr">
        <is>
          <t>Mesmo plano</t>
        </is>
      </c>
      <c r="U217" s="20" t="inlineStr">
        <is>
          <t>Mesma cobrança</t>
        </is>
      </c>
      <c r="V217" s="20" t="inlineStr">
        <is>
          <t>Mais seats</t>
        </is>
      </c>
      <c r="W217" s="20" t="inlineStr">
        <is>
          <t>Não</t>
        </is>
      </c>
    </row>
    <row r="218">
      <c r="A218" s="20" t="inlineStr">
        <is>
          <t>S-632337</t>
        </is>
      </c>
      <c r="B218" s="20" t="inlineStr">
        <is>
          <t>A-7da956</t>
        </is>
      </c>
      <c r="C218" s="20" t="inlineStr">
        <is>
          <t>Lenta (30+ dias)</t>
        </is>
      </c>
      <c r="D218" s="20" t="inlineStr">
        <is>
          <t>Dez/24</t>
        </is>
      </c>
      <c r="E218" s="20" t="inlineStr">
        <is>
          <t>Sim</t>
        </is>
      </c>
      <c r="F218" s="21" t="n">
        <v>45561</v>
      </c>
      <c r="G218" s="21" t="n">
        <v>45655</v>
      </c>
      <c r="H218" s="20" t="n">
        <v>94</v>
      </c>
      <c r="I218" s="20" t="inlineStr">
        <is>
          <t>Enterprise</t>
        </is>
      </c>
      <c r="J218" s="20" t="inlineStr">
        <is>
          <t>Mensal</t>
        </is>
      </c>
      <c r="K218" s="20" t="n">
        <v>14</v>
      </c>
      <c r="L218" s="20" t="inlineStr">
        <is>
          <t>11–20</t>
        </is>
      </c>
      <c r="M218" s="20" t="inlineStr">
        <is>
          <t>US</t>
        </is>
      </c>
      <c r="N218" s="20" t="inlineStr">
        <is>
          <t>Redução</t>
        </is>
      </c>
      <c r="O218" s="20" t="inlineStr">
        <is>
          <t>Redução</t>
        </is>
      </c>
      <c r="P218" s="20" t="inlineStr">
        <is>
          <t>Redução</t>
        </is>
      </c>
      <c r="Q218" s="20" t="n">
        <v>10</v>
      </c>
      <c r="R218" s="20" t="inlineStr"/>
      <c r="S218" s="20" t="inlineStr"/>
      <c r="T218" s="20" t="inlineStr"/>
      <c r="U218" s="20" t="inlineStr"/>
      <c r="V218" s="20" t="inlineStr"/>
      <c r="W218" s="20" t="inlineStr">
        <is>
          <t>Não</t>
        </is>
      </c>
    </row>
    <row r="219">
      <c r="A219" s="20" t="inlineStr">
        <is>
          <t>S-7dcec3</t>
        </is>
      </c>
      <c r="B219" s="20" t="inlineStr">
        <is>
          <t>A-c37601</t>
        </is>
      </c>
      <c r="C219" s="20" t="inlineStr">
        <is>
          <t>Rápida (&lt; 30 dias)</t>
        </is>
      </c>
      <c r="D219" s="20" t="inlineStr">
        <is>
          <t>Dez/24</t>
        </is>
      </c>
      <c r="E219" s="20" t="inlineStr">
        <is>
          <t>Sim</t>
        </is>
      </c>
      <c r="F219" s="21" t="n">
        <v>45643</v>
      </c>
      <c r="G219" s="21" t="n">
        <v>45655</v>
      </c>
      <c r="H219" s="20" t="n">
        <v>12</v>
      </c>
      <c r="I219" s="20" t="inlineStr">
        <is>
          <t>Enterprise</t>
        </is>
      </c>
      <c r="J219" s="20" t="inlineStr">
        <is>
          <t>Anual</t>
        </is>
      </c>
      <c r="K219" s="20" t="n">
        <v>15</v>
      </c>
      <c r="L219" s="20" t="inlineStr">
        <is>
          <t>11–20</t>
        </is>
      </c>
      <c r="M219" s="20" t="inlineStr">
        <is>
          <t>US</t>
        </is>
      </c>
      <c r="N219" s="20" t="inlineStr">
        <is>
          <t>Troca/ajuste</t>
        </is>
      </c>
      <c r="O219" s="20" t="inlineStr">
        <is>
          <t>Troca/ajuste</t>
        </is>
      </c>
      <c r="P219" s="20" t="inlineStr">
        <is>
          <t>Troca/ajuste</t>
        </is>
      </c>
      <c r="Q219" s="20" t="n">
        <v>8</v>
      </c>
      <c r="R219" s="20" t="inlineStr">
        <is>
          <t>S-6cff51, S-f6f848, S-3383a4, S-06b9f0, S-eae806, S-6d9231</t>
        </is>
      </c>
      <c r="S219" s="20" t="inlineStr">
        <is>
          <t>S-3383a4</t>
        </is>
      </c>
      <c r="T219" s="20" t="inlineStr">
        <is>
          <t>Plano abaixo</t>
        </is>
      </c>
      <c r="U219" s="20" t="inlineStr">
        <is>
          <t>Mesma cobrança</t>
        </is>
      </c>
      <c r="V219" s="20" t="inlineStr">
        <is>
          <t>Menos seats</t>
        </is>
      </c>
      <c r="W219" s="20" t="inlineStr">
        <is>
          <t>Sim</t>
        </is>
      </c>
    </row>
    <row r="220">
      <c r="A220" s="20" t="inlineStr">
        <is>
          <t>S-a9bfe0</t>
        </is>
      </c>
      <c r="B220" s="20" t="inlineStr">
        <is>
          <t>A-4bfa33</t>
        </is>
      </c>
      <c r="C220" s="20" t="inlineStr">
        <is>
          <t>Rápida (&lt; 30 dias)</t>
        </is>
      </c>
      <c r="D220" s="20" t="inlineStr">
        <is>
          <t>Dez/24</t>
        </is>
      </c>
      <c r="E220" s="20" t="inlineStr">
        <is>
          <t>Sim</t>
        </is>
      </c>
      <c r="F220" s="21" t="n">
        <v>45638</v>
      </c>
      <c r="G220" s="21" t="n">
        <v>45655</v>
      </c>
      <c r="H220" s="20" t="n">
        <v>17</v>
      </c>
      <c r="I220" s="20" t="inlineStr">
        <is>
          <t>Pro</t>
        </is>
      </c>
      <c r="J220" s="20" t="inlineStr">
        <is>
          <t>Mensal</t>
        </is>
      </c>
      <c r="K220" s="20" t="n">
        <v>9</v>
      </c>
      <c r="L220" s="20" t="inlineStr">
        <is>
          <t>06–10</t>
        </is>
      </c>
      <c r="M220" s="20" t="inlineStr">
        <is>
          <t>US</t>
        </is>
      </c>
      <c r="N220" s="20" t="inlineStr">
        <is>
          <t>Troca/ajuste</t>
        </is>
      </c>
      <c r="O220" s="20" t="inlineStr">
        <is>
          <t>Redução</t>
        </is>
      </c>
      <c r="P220" s="20" t="inlineStr">
        <is>
          <t>Troca/ajuste</t>
        </is>
      </c>
      <c r="Q220" s="20" t="n">
        <v>6</v>
      </c>
      <c r="R220" s="20" t="inlineStr">
        <is>
          <t>S-b8daaa, S-70c369</t>
        </is>
      </c>
      <c r="S220" s="20" t="inlineStr">
        <is>
          <t>S-b8daaa</t>
        </is>
      </c>
      <c r="T220" s="20" t="inlineStr">
        <is>
          <t>Plano acima</t>
        </is>
      </c>
      <c r="U220" s="20" t="inlineStr">
        <is>
          <t>Mudou para anual</t>
        </is>
      </c>
      <c r="V220" s="20" t="inlineStr">
        <is>
          <t>Menos seats</t>
        </is>
      </c>
      <c r="W220" s="20" t="inlineStr">
        <is>
          <t>Sim</t>
        </is>
      </c>
    </row>
    <row r="221">
      <c r="A221" s="20" t="inlineStr">
        <is>
          <t>S-8ff318</t>
        </is>
      </c>
      <c r="B221" s="20" t="inlineStr">
        <is>
          <t>A-e7beab</t>
        </is>
      </c>
      <c r="C221" s="20" t="inlineStr">
        <is>
          <t>Rápida (&lt; 30 dias)</t>
        </is>
      </c>
      <c r="D221" s="20" t="inlineStr">
        <is>
          <t>Dez/24</t>
        </is>
      </c>
      <c r="E221" s="20" t="inlineStr">
        <is>
          <t>Sim</t>
        </is>
      </c>
      <c r="F221" s="21" t="n">
        <v>45649</v>
      </c>
      <c r="G221" s="21" t="n">
        <v>45655</v>
      </c>
      <c r="H221" s="20" t="n">
        <v>6</v>
      </c>
      <c r="I221" s="20" t="inlineStr">
        <is>
          <t>Pro</t>
        </is>
      </c>
      <c r="J221" s="20" t="inlineStr">
        <is>
          <t>Mensal</t>
        </is>
      </c>
      <c r="K221" s="20" t="n">
        <v>5</v>
      </c>
      <c r="L221" s="20" t="inlineStr">
        <is>
          <t>01–05</t>
        </is>
      </c>
      <c r="M221" s="20" t="inlineStr">
        <is>
          <t>DE</t>
        </is>
      </c>
      <c r="N221" s="20" t="inlineStr">
        <is>
          <t>Redução</t>
        </is>
      </c>
      <c r="O221" s="20" t="inlineStr">
        <is>
          <t>Redução</t>
        </is>
      </c>
      <c r="P221" s="20" t="inlineStr">
        <is>
          <t>Redução</t>
        </is>
      </c>
      <c r="Q221" s="20" t="n">
        <v>4</v>
      </c>
      <c r="R221" s="20" t="inlineStr"/>
      <c r="S221" s="20" t="inlineStr"/>
      <c r="T221" s="20" t="inlineStr"/>
      <c r="U221" s="20" t="inlineStr"/>
      <c r="V221" s="20" t="inlineStr"/>
      <c r="W221" s="20" t="inlineStr">
        <is>
          <t>Não</t>
        </is>
      </c>
    </row>
    <row r="222">
      <c r="A222" s="20" t="inlineStr">
        <is>
          <t>S-33e40e</t>
        </is>
      </c>
      <c r="B222" s="20" t="inlineStr">
        <is>
          <t>A-86cdb4</t>
        </is>
      </c>
      <c r="C222" s="20" t="inlineStr">
        <is>
          <t>Lenta (30+ dias)</t>
        </is>
      </c>
      <c r="D222" s="20" t="inlineStr">
        <is>
          <t>Dez/24</t>
        </is>
      </c>
      <c r="E222" s="20" t="inlineStr">
        <is>
          <t>Sim</t>
        </is>
      </c>
      <c r="F222" s="21" t="n">
        <v>45575</v>
      </c>
      <c r="G222" s="21" t="n">
        <v>45655</v>
      </c>
      <c r="H222" s="20" t="n">
        <v>80</v>
      </c>
      <c r="I222" s="20" t="inlineStr">
        <is>
          <t>Enterprise</t>
        </is>
      </c>
      <c r="J222" s="20" t="inlineStr">
        <is>
          <t>Anual</t>
        </is>
      </c>
      <c r="K222" s="20" t="n">
        <v>2</v>
      </c>
      <c r="L222" s="20" t="inlineStr">
        <is>
          <t>01–05</t>
        </is>
      </c>
      <c r="M222" s="20" t="inlineStr">
        <is>
          <t>DE</t>
        </is>
      </c>
      <c r="N222" s="20" t="inlineStr">
        <is>
          <t>Troca/ajuste</t>
        </is>
      </c>
      <c r="O222" s="20" t="inlineStr">
        <is>
          <t>Troca/ajuste</t>
        </is>
      </c>
      <c r="P222" s="20" t="inlineStr">
        <is>
          <t>Troca/ajuste</t>
        </is>
      </c>
      <c r="Q222" s="20" t="n">
        <v>6</v>
      </c>
      <c r="R222" s="20" t="inlineStr">
        <is>
          <t>S-684751</t>
        </is>
      </c>
      <c r="S222" s="20" t="inlineStr">
        <is>
          <t>S-684751</t>
        </is>
      </c>
      <c r="T222" s="20" t="inlineStr">
        <is>
          <t>Plano abaixo</t>
        </is>
      </c>
      <c r="U222" s="20" t="inlineStr">
        <is>
          <t>Mudou para mensal</t>
        </is>
      </c>
      <c r="V222" s="20" t="inlineStr">
        <is>
          <t>Mais seats</t>
        </is>
      </c>
      <c r="W222" s="20" t="inlineStr">
        <is>
          <t>Não</t>
        </is>
      </c>
    </row>
    <row r="223">
      <c r="A223" s="20" t="inlineStr">
        <is>
          <t>S-9a44ec</t>
        </is>
      </c>
      <c r="B223" s="20" t="inlineStr">
        <is>
          <t>A-bf7919</t>
        </is>
      </c>
      <c r="C223" s="20" t="inlineStr">
        <is>
          <t>Rápida (&lt; 30 dias)</t>
        </is>
      </c>
      <c r="D223" s="20" t="inlineStr">
        <is>
          <t>Dez/24</t>
        </is>
      </c>
      <c r="E223" s="20" t="inlineStr">
        <is>
          <t>Sim</t>
        </is>
      </c>
      <c r="F223" s="21" t="n">
        <v>45647</v>
      </c>
      <c r="G223" s="21" t="n">
        <v>45655</v>
      </c>
      <c r="H223" s="20" t="n">
        <v>8</v>
      </c>
      <c r="I223" s="20" t="inlineStr">
        <is>
          <t>Pro</t>
        </is>
      </c>
      <c r="J223" s="20" t="inlineStr">
        <is>
          <t>Anual</t>
        </is>
      </c>
      <c r="K223" s="20" t="n">
        <v>15</v>
      </c>
      <c r="L223" s="20" t="inlineStr">
        <is>
          <t>11–20</t>
        </is>
      </c>
      <c r="M223" s="20" t="inlineStr">
        <is>
          <t>US</t>
        </is>
      </c>
      <c r="N223" s="20" t="inlineStr">
        <is>
          <t>Troca/ajuste</t>
        </is>
      </c>
      <c r="O223" s="20" t="inlineStr">
        <is>
          <t>Troca/ajuste</t>
        </is>
      </c>
      <c r="P223" s="20" t="inlineStr">
        <is>
          <t>Troca/ajuste</t>
        </is>
      </c>
      <c r="Q223" s="20" t="n">
        <v>4</v>
      </c>
      <c r="R223" s="20" t="inlineStr">
        <is>
          <t>S-e8a2fa, S-b75eaa, S-615a8a</t>
        </is>
      </c>
      <c r="S223" s="20" t="inlineStr">
        <is>
          <t>S-615a8a</t>
        </is>
      </c>
      <c r="T223" s="20" t="inlineStr">
        <is>
          <t>Plano acima</t>
        </is>
      </c>
      <c r="U223" s="20" t="inlineStr">
        <is>
          <t>Mesma cobrança</t>
        </is>
      </c>
      <c r="V223" s="20" t="inlineStr">
        <is>
          <t>Menos seats</t>
        </is>
      </c>
      <c r="W223" s="20" t="inlineStr">
        <is>
          <t>Sim</t>
        </is>
      </c>
    </row>
    <row r="224">
      <c r="A224" s="20" t="inlineStr">
        <is>
          <t>S-c8a4ff</t>
        </is>
      </c>
      <c r="B224" s="20" t="inlineStr">
        <is>
          <t>A-fabe19</t>
        </is>
      </c>
      <c r="C224" s="20" t="inlineStr">
        <is>
          <t>Rápida (&lt; 30 dias)</t>
        </is>
      </c>
      <c r="D224" s="20" t="inlineStr">
        <is>
          <t>Dez/24</t>
        </is>
      </c>
      <c r="E224" s="20" t="inlineStr">
        <is>
          <t>Sim</t>
        </is>
      </c>
      <c r="F224" s="21" t="n">
        <v>45650</v>
      </c>
      <c r="G224" s="21" t="n">
        <v>45655</v>
      </c>
      <c r="H224" s="20" t="n">
        <v>5</v>
      </c>
      <c r="I224" s="20" t="inlineStr">
        <is>
          <t>Enterprise</t>
        </is>
      </c>
      <c r="J224" s="20" t="inlineStr">
        <is>
          <t>Anual</t>
        </is>
      </c>
      <c r="K224" s="20" t="n">
        <v>23</v>
      </c>
      <c r="L224" s="20" t="inlineStr">
        <is>
          <t>21–40</t>
        </is>
      </c>
      <c r="M224" s="20" t="inlineStr">
        <is>
          <t>UK</t>
        </is>
      </c>
      <c r="N224" s="20" t="inlineStr">
        <is>
          <t>Troca/ajuste</t>
        </is>
      </c>
      <c r="O224" s="20" t="inlineStr">
        <is>
          <t>Troca/ajuste</t>
        </is>
      </c>
      <c r="P224" s="20" t="inlineStr">
        <is>
          <t>Troca/ajuste</t>
        </is>
      </c>
      <c r="Q224" s="20" t="n">
        <v>5</v>
      </c>
      <c r="R224" s="20" t="inlineStr">
        <is>
          <t>S-e0a4c5</t>
        </is>
      </c>
      <c r="S224" s="20" t="inlineStr">
        <is>
          <t>S-e0a4c5</t>
        </is>
      </c>
      <c r="T224" s="20" t="inlineStr">
        <is>
          <t>Mesmo plano</t>
        </is>
      </c>
      <c r="U224" s="20" t="inlineStr">
        <is>
          <t>Mudou para mensal</t>
        </is>
      </c>
      <c r="V224" s="20" t="inlineStr">
        <is>
          <t>Menos seats</t>
        </is>
      </c>
      <c r="W224" s="20" t="inlineStr">
        <is>
          <t>Não</t>
        </is>
      </c>
    </row>
    <row r="225">
      <c r="A225" s="20" t="inlineStr">
        <is>
          <t>S-0509b8</t>
        </is>
      </c>
      <c r="B225" s="20" t="inlineStr">
        <is>
          <t>A-e351e1</t>
        </is>
      </c>
      <c r="C225" s="20" t="inlineStr">
        <is>
          <t>Rápida (&lt; 30 dias)</t>
        </is>
      </c>
      <c r="D225" s="20" t="inlineStr">
        <is>
          <t>Dez/24</t>
        </is>
      </c>
      <c r="E225" s="20" t="inlineStr">
        <is>
          <t>Sim</t>
        </is>
      </c>
      <c r="F225" s="21" t="n">
        <v>45652</v>
      </c>
      <c r="G225" s="21" t="n">
        <v>45655</v>
      </c>
      <c r="H225" s="20" t="n">
        <v>3</v>
      </c>
      <c r="I225" s="20" t="inlineStr">
        <is>
          <t>Basic</t>
        </is>
      </c>
      <c r="J225" s="20" t="inlineStr">
        <is>
          <t>Anual</t>
        </is>
      </c>
      <c r="K225" s="20" t="n">
        <v>33</v>
      </c>
      <c r="L225" s="20" t="inlineStr">
        <is>
          <t>21–40</t>
        </is>
      </c>
      <c r="M225" s="20" t="inlineStr">
        <is>
          <t>US</t>
        </is>
      </c>
      <c r="N225" s="20" t="inlineStr">
        <is>
          <t>Redução</t>
        </is>
      </c>
      <c r="O225" s="20" t="inlineStr">
        <is>
          <t>Redução</t>
        </is>
      </c>
      <c r="P225" s="20" t="inlineStr">
        <is>
          <t>Redução</t>
        </is>
      </c>
      <c r="Q225" s="20" t="n">
        <v>4</v>
      </c>
      <c r="R225" s="20" t="inlineStr"/>
      <c r="S225" s="20" t="inlineStr"/>
      <c r="T225" s="20" t="inlineStr"/>
      <c r="U225" s="20" t="inlineStr"/>
      <c r="V225" s="20" t="inlineStr"/>
      <c r="W225" s="20" t="inlineStr">
        <is>
          <t>Sim</t>
        </is>
      </c>
    </row>
    <row r="226">
      <c r="A226" s="20" t="inlineStr">
        <is>
          <t>S-e04d93</t>
        </is>
      </c>
      <c r="B226" s="20" t="inlineStr">
        <is>
          <t>A-5a215a</t>
        </is>
      </c>
      <c r="C226" s="20" t="inlineStr">
        <is>
          <t>Lenta (30+ dias)</t>
        </is>
      </c>
      <c r="D226" s="20" t="inlineStr">
        <is>
          <t>Dez/24</t>
        </is>
      </c>
      <c r="E226" s="20" t="inlineStr">
        <is>
          <t>Sim</t>
        </is>
      </c>
      <c r="F226" s="21" t="n">
        <v>45439</v>
      </c>
      <c r="G226" s="21" t="n">
        <v>45656</v>
      </c>
      <c r="H226" s="20" t="n">
        <v>217</v>
      </c>
      <c r="I226" s="20" t="inlineStr">
        <is>
          <t>Enterprise</t>
        </is>
      </c>
      <c r="J226" s="20" t="inlineStr">
        <is>
          <t>Mensal</t>
        </is>
      </c>
      <c r="K226" s="20" t="n">
        <v>87</v>
      </c>
      <c r="L226" s="20" t="inlineStr">
        <is>
          <t>81 ou mais</t>
        </is>
      </c>
      <c r="M226" s="20" t="inlineStr">
        <is>
          <t>FR</t>
        </is>
      </c>
      <c r="N226" s="20" t="inlineStr">
        <is>
          <t>Redução</t>
        </is>
      </c>
      <c r="O226" s="20" t="inlineStr">
        <is>
          <t>Redução</t>
        </is>
      </c>
      <c r="P226" s="20" t="inlineStr">
        <is>
          <t>Redução</t>
        </is>
      </c>
      <c r="Q226" s="20" t="n">
        <v>12</v>
      </c>
      <c r="R226" s="20" t="inlineStr"/>
      <c r="S226" s="20" t="inlineStr"/>
      <c r="T226" s="20" t="inlineStr"/>
      <c r="U226" s="20" t="inlineStr"/>
      <c r="V226" s="20" t="inlineStr"/>
      <c r="W226" s="20" t="inlineStr">
        <is>
          <t>Não</t>
        </is>
      </c>
    </row>
    <row r="227">
      <c r="A227" s="20" t="inlineStr">
        <is>
          <t>S-021985</t>
        </is>
      </c>
      <c r="B227" s="20" t="inlineStr">
        <is>
          <t>A-66224b</t>
        </is>
      </c>
      <c r="C227" s="20" t="inlineStr">
        <is>
          <t>Rápida (&lt; 30 dias)</t>
        </is>
      </c>
      <c r="D227" s="20" t="inlineStr">
        <is>
          <t>Dez/24</t>
        </is>
      </c>
      <c r="E227" s="20" t="inlineStr">
        <is>
          <t>Sim</t>
        </is>
      </c>
      <c r="F227" s="21" t="n">
        <v>45648</v>
      </c>
      <c r="G227" s="21" t="n">
        <v>45656</v>
      </c>
      <c r="H227" s="20" t="n">
        <v>8</v>
      </c>
      <c r="I227" s="20" t="inlineStr">
        <is>
          <t>Enterprise</t>
        </is>
      </c>
      <c r="J227" s="20" t="inlineStr">
        <is>
          <t>Mensal</t>
        </is>
      </c>
      <c r="K227" s="20" t="n">
        <v>92</v>
      </c>
      <c r="L227" s="20" t="inlineStr">
        <is>
          <t>81 ou mais</t>
        </is>
      </c>
      <c r="M227" s="20" t="inlineStr">
        <is>
          <t>US</t>
        </is>
      </c>
      <c r="N227" s="20" t="inlineStr">
        <is>
          <t>Troca/ajuste</t>
        </is>
      </c>
      <c r="O227" s="20" t="inlineStr">
        <is>
          <t>Troca/ajuste</t>
        </is>
      </c>
      <c r="P227" s="20" t="inlineStr">
        <is>
          <t>Troca/ajuste</t>
        </is>
      </c>
      <c r="Q227" s="20" t="n">
        <v>11</v>
      </c>
      <c r="R227" s="20" t="inlineStr">
        <is>
          <t>S-f9bd62, S-d859b7</t>
        </is>
      </c>
      <c r="S227" s="20" t="inlineStr">
        <is>
          <t>S-d859b7</t>
        </is>
      </c>
      <c r="T227" s="20" t="inlineStr">
        <is>
          <t>Mesmo plano</t>
        </is>
      </c>
      <c r="U227" s="20" t="inlineStr">
        <is>
          <t>Mudou para anual</t>
        </is>
      </c>
      <c r="V227" s="20" t="inlineStr">
        <is>
          <t>Mesmos seats</t>
        </is>
      </c>
      <c r="W227" s="20" t="inlineStr">
        <is>
          <t>Não</t>
        </is>
      </c>
    </row>
    <row r="228">
      <c r="A228" s="20" t="inlineStr">
        <is>
          <t>S-c2f293</t>
        </is>
      </c>
      <c r="B228" s="20" t="inlineStr">
        <is>
          <t>A-69b156</t>
        </is>
      </c>
      <c r="C228" s="20" t="inlineStr">
        <is>
          <t>Rápida (&lt; 30 dias)</t>
        </is>
      </c>
      <c r="D228" s="20" t="inlineStr">
        <is>
          <t>Dez/24</t>
        </is>
      </c>
      <c r="E228" s="20" t="inlineStr">
        <is>
          <t>Sim</t>
        </is>
      </c>
      <c r="F228" s="21" t="n">
        <v>45636</v>
      </c>
      <c r="G228" s="21" t="n">
        <v>45656</v>
      </c>
      <c r="H228" s="20" t="n">
        <v>20</v>
      </c>
      <c r="I228" s="20" t="inlineStr">
        <is>
          <t>Basic</t>
        </is>
      </c>
      <c r="J228" s="20" t="inlineStr">
        <is>
          <t>Mensal</t>
        </is>
      </c>
      <c r="K228" s="20" t="n">
        <v>8</v>
      </c>
      <c r="L228" s="20" t="inlineStr">
        <is>
          <t>06–10</t>
        </is>
      </c>
      <c r="M228" s="20" t="inlineStr">
        <is>
          <t>US</t>
        </is>
      </c>
      <c r="N228" s="20" t="inlineStr">
        <is>
          <t>Redução</t>
        </is>
      </c>
      <c r="O228" s="20" t="inlineStr">
        <is>
          <t>Redução</t>
        </is>
      </c>
      <c r="P228" s="20" t="inlineStr">
        <is>
          <t>Redução</t>
        </is>
      </c>
      <c r="Q228" s="20" t="n">
        <v>7</v>
      </c>
      <c r="R228" s="20" t="inlineStr"/>
      <c r="S228" s="20" t="inlineStr"/>
      <c r="T228" s="20" t="inlineStr"/>
      <c r="U228" s="20" t="inlineStr"/>
      <c r="V228" s="20" t="inlineStr"/>
      <c r="W228" s="20" t="inlineStr">
        <is>
          <t>Não</t>
        </is>
      </c>
    </row>
    <row r="229">
      <c r="A229" s="20" t="inlineStr">
        <is>
          <t>S-09cb75</t>
        </is>
      </c>
      <c r="B229" s="20" t="inlineStr">
        <is>
          <t>A-c43359</t>
        </is>
      </c>
      <c r="C229" s="20" t="inlineStr">
        <is>
          <t>Lenta (30+ dias)</t>
        </is>
      </c>
      <c r="D229" s="20" t="inlineStr">
        <is>
          <t>Dez/24</t>
        </is>
      </c>
      <c r="E229" s="20" t="inlineStr">
        <is>
          <t>Sim</t>
        </is>
      </c>
      <c r="F229" s="21" t="n">
        <v>45625</v>
      </c>
      <c r="G229" s="21" t="n">
        <v>45656</v>
      </c>
      <c r="H229" s="20" t="n">
        <v>31</v>
      </c>
      <c r="I229" s="20" t="inlineStr">
        <is>
          <t>Basic</t>
        </is>
      </c>
      <c r="J229" s="20" t="inlineStr">
        <is>
          <t>Anual</t>
        </is>
      </c>
      <c r="K229" s="20" t="n">
        <v>38</v>
      </c>
      <c r="L229" s="20" t="inlineStr">
        <is>
          <t>21–40</t>
        </is>
      </c>
      <c r="M229" s="20" t="inlineStr">
        <is>
          <t>US</t>
        </is>
      </c>
      <c r="N229" s="20" t="inlineStr">
        <is>
          <t>Redução</t>
        </is>
      </c>
      <c r="O229" s="20" t="inlineStr">
        <is>
          <t>Redução</t>
        </is>
      </c>
      <c r="P229" s="20" t="inlineStr">
        <is>
          <t>Troca/ajuste</t>
        </is>
      </c>
      <c r="Q229" s="20" t="n">
        <v>6</v>
      </c>
      <c r="R229" s="20" t="inlineStr"/>
      <c r="S229" s="20" t="inlineStr"/>
      <c r="T229" s="20" t="inlineStr"/>
      <c r="U229" s="20" t="inlineStr"/>
      <c r="V229" s="20" t="inlineStr"/>
      <c r="W229" s="20" t="inlineStr">
        <is>
          <t>Sim</t>
        </is>
      </c>
    </row>
    <row r="230">
      <c r="A230" s="20" t="inlineStr">
        <is>
          <t>S-d3d720</t>
        </is>
      </c>
      <c r="B230" s="20" t="inlineStr">
        <is>
          <t>A-b7724f</t>
        </is>
      </c>
      <c r="C230" s="20" t="inlineStr">
        <is>
          <t>Lenta (30+ dias)</t>
        </is>
      </c>
      <c r="D230" s="20" t="inlineStr">
        <is>
          <t>Dez/24</t>
        </is>
      </c>
      <c r="E230" s="20" t="inlineStr">
        <is>
          <t>Sim</t>
        </is>
      </c>
      <c r="F230" s="21" t="n">
        <v>45463</v>
      </c>
      <c r="G230" s="21" t="n">
        <v>45656</v>
      </c>
      <c r="H230" s="20" t="n">
        <v>193</v>
      </c>
      <c r="I230" s="20" t="inlineStr">
        <is>
          <t>Basic</t>
        </is>
      </c>
      <c r="J230" s="20" t="inlineStr">
        <is>
          <t>Mensal</t>
        </is>
      </c>
      <c r="K230" s="20" t="n">
        <v>11</v>
      </c>
      <c r="L230" s="20" t="inlineStr">
        <is>
          <t>11–20</t>
        </is>
      </c>
      <c r="M230" s="20" t="inlineStr">
        <is>
          <t>UK</t>
        </is>
      </c>
      <c r="N230" s="20" t="inlineStr">
        <is>
          <t>Troca/ajuste</t>
        </is>
      </c>
      <c r="O230" s="20" t="inlineStr">
        <is>
          <t>Troca/ajuste</t>
        </is>
      </c>
      <c r="P230" s="20" t="inlineStr">
        <is>
          <t>Troca/ajuste</t>
        </is>
      </c>
      <c r="Q230" s="20" t="n">
        <v>5</v>
      </c>
      <c r="R230" s="20" t="inlineStr">
        <is>
          <t>S-d9f26e, S-804fb3</t>
        </is>
      </c>
      <c r="S230" s="20" t="inlineStr">
        <is>
          <t>S-d9f26e</t>
        </is>
      </c>
      <c r="T230" s="20" t="inlineStr">
        <is>
          <t>Mesmo plano</t>
        </is>
      </c>
      <c r="U230" s="20" t="inlineStr">
        <is>
          <t>Mesma cobrança</t>
        </is>
      </c>
      <c r="V230" s="20" t="inlineStr">
        <is>
          <t>Mais seats</t>
        </is>
      </c>
      <c r="W230" s="20" t="inlineStr">
        <is>
          <t>Não</t>
        </is>
      </c>
    </row>
    <row r="231">
      <c r="A231" s="20" t="inlineStr">
        <is>
          <t>S-8b24a0</t>
        </is>
      </c>
      <c r="B231" s="20" t="inlineStr">
        <is>
          <t>A-309e54</t>
        </is>
      </c>
      <c r="C231" s="20" t="inlineStr">
        <is>
          <t>Rápida (&lt; 30 dias)</t>
        </is>
      </c>
      <c r="D231" s="20" t="inlineStr">
        <is>
          <t>Dez/24</t>
        </is>
      </c>
      <c r="E231" s="20" t="inlineStr">
        <is>
          <t>Sim</t>
        </is>
      </c>
      <c r="F231" s="21" t="n">
        <v>45655</v>
      </c>
      <c r="G231" s="21" t="n">
        <v>45656</v>
      </c>
      <c r="H231" s="20" t="n">
        <v>1</v>
      </c>
      <c r="I231" s="20" t="inlineStr">
        <is>
          <t>Pro</t>
        </is>
      </c>
      <c r="J231" s="20" t="inlineStr">
        <is>
          <t>Mensal</t>
        </is>
      </c>
      <c r="K231" s="20" t="n">
        <v>33</v>
      </c>
      <c r="L231" s="20" t="inlineStr">
        <is>
          <t>21–40</t>
        </is>
      </c>
      <c r="M231" s="20" t="inlineStr">
        <is>
          <t>US</t>
        </is>
      </c>
      <c r="N231" s="20" t="inlineStr">
        <is>
          <t>Troca/ajuste</t>
        </is>
      </c>
      <c r="O231" s="20" t="inlineStr">
        <is>
          <t>Troca/ajuste</t>
        </is>
      </c>
      <c r="P231" s="20" t="inlineStr">
        <is>
          <t>Troca/ajuste</t>
        </is>
      </c>
      <c r="Q231" s="20" t="n">
        <v>9</v>
      </c>
      <c r="R231" s="20" t="inlineStr">
        <is>
          <t>S-8b1fc1, S-e98d6b, S-5ca11a, S-0ae114</t>
        </is>
      </c>
      <c r="S231" s="20" t="inlineStr">
        <is>
          <t>S-e98d6b</t>
        </is>
      </c>
      <c r="T231" s="20" t="inlineStr">
        <is>
          <t>Plano abaixo</t>
        </is>
      </c>
      <c r="U231" s="20" t="inlineStr">
        <is>
          <t>Mudou para anual</t>
        </is>
      </c>
      <c r="V231" s="20" t="inlineStr">
        <is>
          <t>Menos seats</t>
        </is>
      </c>
      <c r="W231" s="20" t="inlineStr">
        <is>
          <t>Sim</t>
        </is>
      </c>
    </row>
    <row r="232">
      <c r="A232" s="20" t="inlineStr">
        <is>
          <t>S-c41762</t>
        </is>
      </c>
      <c r="B232" s="20" t="inlineStr">
        <is>
          <t>A-9badbd</t>
        </is>
      </c>
      <c r="C232" s="20" t="inlineStr">
        <is>
          <t>Rápida (&lt; 30 dias)</t>
        </is>
      </c>
      <c r="D232" s="20" t="inlineStr">
        <is>
          <t>Dez/24</t>
        </is>
      </c>
      <c r="E232" s="20" t="inlineStr">
        <is>
          <t>Sim</t>
        </is>
      </c>
      <c r="F232" s="21" t="n">
        <v>45647</v>
      </c>
      <c r="G232" s="21" t="n">
        <v>45656</v>
      </c>
      <c r="H232" s="20" t="n">
        <v>9</v>
      </c>
      <c r="I232" s="20" t="inlineStr">
        <is>
          <t>Enterprise</t>
        </is>
      </c>
      <c r="J232" s="20" t="inlineStr">
        <is>
          <t>Mensal</t>
        </is>
      </c>
      <c r="K232" s="20" t="n">
        <v>59</v>
      </c>
      <c r="L232" s="20" t="inlineStr">
        <is>
          <t>41–80</t>
        </is>
      </c>
      <c r="M232" s="20" t="inlineStr">
        <is>
          <t>DE</t>
        </is>
      </c>
      <c r="N232" s="20" t="inlineStr">
        <is>
          <t>Redução</t>
        </is>
      </c>
      <c r="O232" s="20" t="inlineStr">
        <is>
          <t>Redução</t>
        </is>
      </c>
      <c r="P232" s="20" t="inlineStr">
        <is>
          <t>Redução</t>
        </is>
      </c>
      <c r="Q232" s="20" t="n">
        <v>11</v>
      </c>
      <c r="R232" s="20" t="inlineStr"/>
      <c r="S232" s="20" t="inlineStr"/>
      <c r="T232" s="20" t="inlineStr"/>
      <c r="U232" s="20" t="inlineStr"/>
      <c r="V232" s="20" t="inlineStr"/>
      <c r="W232" s="20" t="inlineStr">
        <is>
          <t>Não</t>
        </is>
      </c>
    </row>
    <row r="233">
      <c r="A233" s="20" t="inlineStr">
        <is>
          <t>S-4fe9b6</t>
        </is>
      </c>
      <c r="B233" s="20" t="inlineStr">
        <is>
          <t>A-8bde0c</t>
        </is>
      </c>
      <c r="C233" s="20" t="inlineStr">
        <is>
          <t>Rápida (&lt; 30 dias)</t>
        </is>
      </c>
      <c r="D233" s="20" t="inlineStr">
        <is>
          <t>Dez/24</t>
        </is>
      </c>
      <c r="E233" s="20" t="inlineStr">
        <is>
          <t>Sim</t>
        </is>
      </c>
      <c r="F233" s="21" t="n">
        <v>45645</v>
      </c>
      <c r="G233" s="21" t="n">
        <v>45656</v>
      </c>
      <c r="H233" s="20" t="n">
        <v>11</v>
      </c>
      <c r="I233" s="20" t="inlineStr">
        <is>
          <t>Pro</t>
        </is>
      </c>
      <c r="J233" s="20" t="inlineStr">
        <is>
          <t>Anual</t>
        </is>
      </c>
      <c r="K233" s="20" t="n">
        <v>25</v>
      </c>
      <c r="L233" s="20" t="inlineStr">
        <is>
          <t>21–40</t>
        </is>
      </c>
      <c r="M233" s="20" t="inlineStr">
        <is>
          <t>US</t>
        </is>
      </c>
      <c r="N233" s="20" t="inlineStr">
        <is>
          <t>Troca/ajuste</t>
        </is>
      </c>
      <c r="O233" s="20" t="inlineStr">
        <is>
          <t>Troca/ajuste</t>
        </is>
      </c>
      <c r="P233" s="20" t="inlineStr">
        <is>
          <t>Troca/ajuste</t>
        </is>
      </c>
      <c r="Q233" s="20" t="n">
        <v>16</v>
      </c>
      <c r="R233" s="20" t="inlineStr">
        <is>
          <t>S-859ee0, S-937207, S-cfd4a3, S-a61006, S-4c6ee1</t>
        </is>
      </c>
      <c r="S233" s="20" t="inlineStr">
        <is>
          <t>S-937207</t>
        </is>
      </c>
      <c r="T233" s="20" t="inlineStr">
        <is>
          <t>Plano acima</t>
        </is>
      </c>
      <c r="U233" s="20" t="inlineStr">
        <is>
          <t>Mudou para mensal</t>
        </is>
      </c>
      <c r="V233" s="20" t="inlineStr">
        <is>
          <t>Menos seats</t>
        </is>
      </c>
      <c r="W233" s="20" t="inlineStr">
        <is>
          <t>Sim</t>
        </is>
      </c>
    </row>
    <row r="234">
      <c r="A234" s="20" t="inlineStr">
        <is>
          <t>S-b8d2f6</t>
        </is>
      </c>
      <c r="B234" s="20" t="inlineStr">
        <is>
          <t>A-17939a</t>
        </is>
      </c>
      <c r="C234" s="20" t="inlineStr">
        <is>
          <t>Rápida (&lt; 30 dias)</t>
        </is>
      </c>
      <c r="D234" s="20" t="inlineStr">
        <is>
          <t>Dez/24</t>
        </is>
      </c>
      <c r="E234" s="20" t="inlineStr">
        <is>
          <t>Sim</t>
        </is>
      </c>
      <c r="F234" s="21" t="n">
        <v>45654</v>
      </c>
      <c r="G234" s="21" t="n">
        <v>45656</v>
      </c>
      <c r="H234" s="20" t="n">
        <v>2</v>
      </c>
      <c r="I234" s="20" t="inlineStr">
        <is>
          <t>Basic</t>
        </is>
      </c>
      <c r="J234" s="20" t="inlineStr">
        <is>
          <t>Mensal</t>
        </is>
      </c>
      <c r="K234" s="20" t="n">
        <v>19</v>
      </c>
      <c r="L234" s="20" t="inlineStr">
        <is>
          <t>11–20</t>
        </is>
      </c>
      <c r="M234" s="20" t="inlineStr">
        <is>
          <t>US</t>
        </is>
      </c>
      <c r="N234" s="20" t="inlineStr">
        <is>
          <t>Troca/ajuste</t>
        </is>
      </c>
      <c r="O234" s="20" t="inlineStr">
        <is>
          <t>Troca/ajuste</t>
        </is>
      </c>
      <c r="P234" s="20" t="inlineStr">
        <is>
          <t>Troca/ajuste</t>
        </is>
      </c>
      <c r="Q234" s="20" t="n">
        <v>8</v>
      </c>
      <c r="R234" s="20" t="inlineStr">
        <is>
          <t>S-65dbf3, S-a4b1af, S-b57a5e, S-2a6e4a, S-4c7591, S-8707e7, S-d19216, S-3c9178, S-06447b, S-9c1bcb</t>
        </is>
      </c>
      <c r="S234" s="20" t="inlineStr">
        <is>
          <t>S-b57a5e</t>
        </is>
      </c>
      <c r="T234" s="20" t="inlineStr">
        <is>
          <t>Mesmo plano</t>
        </is>
      </c>
      <c r="U234" s="20" t="inlineStr">
        <is>
          <t>Mudou para anual</t>
        </is>
      </c>
      <c r="V234" s="20" t="inlineStr">
        <is>
          <t>Mais seats</t>
        </is>
      </c>
      <c r="W234" s="20" t="inlineStr">
        <is>
          <t>Não</t>
        </is>
      </c>
    </row>
    <row r="235">
      <c r="A235" s="20" t="inlineStr">
        <is>
          <t>S-bbafad</t>
        </is>
      </c>
      <c r="B235" s="20" t="inlineStr">
        <is>
          <t>A-854864</t>
        </is>
      </c>
      <c r="C235" s="20" t="inlineStr">
        <is>
          <t>Rápida (&lt; 30 dias)</t>
        </is>
      </c>
      <c r="D235" s="20" t="inlineStr">
        <is>
          <t>Dez/24</t>
        </is>
      </c>
      <c r="E235" s="20" t="inlineStr">
        <is>
          <t>Sim</t>
        </is>
      </c>
      <c r="F235" s="21" t="n">
        <v>45653</v>
      </c>
      <c r="G235" s="21" t="n">
        <v>45656</v>
      </c>
      <c r="H235" s="20" t="n">
        <v>3</v>
      </c>
      <c r="I235" s="20" t="inlineStr">
        <is>
          <t>Basic</t>
        </is>
      </c>
      <c r="J235" s="20" t="inlineStr">
        <is>
          <t>Anual</t>
        </is>
      </c>
      <c r="K235" s="20" t="n">
        <v>20</v>
      </c>
      <c r="L235" s="20" t="inlineStr">
        <is>
          <t>11–20</t>
        </is>
      </c>
      <c r="M235" s="20" t="inlineStr">
        <is>
          <t>IN</t>
        </is>
      </c>
      <c r="N235" s="20" t="inlineStr">
        <is>
          <t>Troca/ajuste</t>
        </is>
      </c>
      <c r="O235" s="20" t="inlineStr">
        <is>
          <t>Troca/ajuste</t>
        </is>
      </c>
      <c r="P235" s="20" t="inlineStr">
        <is>
          <t>Troca/ajuste</t>
        </is>
      </c>
      <c r="Q235" s="20" t="n">
        <v>4</v>
      </c>
      <c r="R235" s="20" t="inlineStr">
        <is>
          <t>S-b32512, S-676254, S-3d6100</t>
        </is>
      </c>
      <c r="S235" s="20" t="inlineStr">
        <is>
          <t>S-676254</t>
        </is>
      </c>
      <c r="T235" s="20" t="inlineStr">
        <is>
          <t>Plano acima</t>
        </is>
      </c>
      <c r="U235" s="20" t="inlineStr">
        <is>
          <t>Mesma cobrança</t>
        </is>
      </c>
      <c r="V235" s="20" t="inlineStr">
        <is>
          <t>Mesmos seats</t>
        </is>
      </c>
      <c r="W235" s="20" t="inlineStr">
        <is>
          <t>Sim</t>
        </is>
      </c>
    </row>
    <row r="236">
      <c r="A236" s="20" t="inlineStr">
        <is>
          <t>S-504bce</t>
        </is>
      </c>
      <c r="B236" s="20" t="inlineStr">
        <is>
          <t>A-474ad4</t>
        </is>
      </c>
      <c r="C236" s="20" t="inlineStr">
        <is>
          <t>Lenta (30+ dias)</t>
        </is>
      </c>
      <c r="D236" s="20" t="inlineStr">
        <is>
          <t>Dez/24</t>
        </is>
      </c>
      <c r="E236" s="20" t="inlineStr">
        <is>
          <t>Sim</t>
        </is>
      </c>
      <c r="F236" s="21" t="n">
        <v>45624</v>
      </c>
      <c r="G236" s="21" t="n">
        <v>45656</v>
      </c>
      <c r="H236" s="20" t="n">
        <v>32</v>
      </c>
      <c r="I236" s="20" t="inlineStr">
        <is>
          <t>Enterprise</t>
        </is>
      </c>
      <c r="J236" s="20" t="inlineStr">
        <is>
          <t>Anual</t>
        </is>
      </c>
      <c r="K236" s="20" t="n">
        <v>41</v>
      </c>
      <c r="L236" s="20" t="inlineStr">
        <is>
          <t>41–80</t>
        </is>
      </c>
      <c r="M236" s="20" t="inlineStr">
        <is>
          <t>US</t>
        </is>
      </c>
      <c r="N236" s="20" t="inlineStr">
        <is>
          <t>Troca/ajuste</t>
        </is>
      </c>
      <c r="O236" s="20" t="inlineStr">
        <is>
          <t>Troca/ajuste</t>
        </is>
      </c>
      <c r="P236" s="20" t="inlineStr">
        <is>
          <t>Troca/ajuste</t>
        </is>
      </c>
      <c r="Q236" s="20" t="n">
        <v>13</v>
      </c>
      <c r="R236" s="20" t="inlineStr">
        <is>
          <t>S-d88b25</t>
        </is>
      </c>
      <c r="S236" s="20" t="inlineStr">
        <is>
          <t>S-d88b25</t>
        </is>
      </c>
      <c r="T236" s="20" t="inlineStr">
        <is>
          <t>Mesmo plano</t>
        </is>
      </c>
      <c r="U236" s="20" t="inlineStr">
        <is>
          <t>Mesma cobrança</t>
        </is>
      </c>
      <c r="V236" s="20" t="inlineStr">
        <is>
          <t>Menos seats</t>
        </is>
      </c>
      <c r="W236" s="20" t="inlineStr">
        <is>
          <t>Não</t>
        </is>
      </c>
    </row>
    <row r="237">
      <c r="A237" s="20" t="inlineStr">
        <is>
          <t>S-49aa80</t>
        </is>
      </c>
      <c r="B237" s="20" t="inlineStr">
        <is>
          <t>A-a45270</t>
        </is>
      </c>
      <c r="C237" s="20" t="inlineStr">
        <is>
          <t>Rápida (&lt; 30 dias)</t>
        </is>
      </c>
      <c r="D237" s="20" t="inlineStr">
        <is>
          <t>Dez/24</t>
        </is>
      </c>
      <c r="E237" s="20" t="inlineStr">
        <is>
          <t>Sim</t>
        </is>
      </c>
      <c r="F237" s="21" t="n">
        <v>45648</v>
      </c>
      <c r="G237" s="21" t="n">
        <v>45656</v>
      </c>
      <c r="H237" s="20" t="n">
        <v>8</v>
      </c>
      <c r="I237" s="20" t="inlineStr">
        <is>
          <t>Pro</t>
        </is>
      </c>
      <c r="J237" s="20" t="inlineStr">
        <is>
          <t>Mensal</t>
        </is>
      </c>
      <c r="K237" s="20" t="n">
        <v>3</v>
      </c>
      <c r="L237" s="20" t="inlineStr">
        <is>
          <t>01–05</t>
        </is>
      </c>
      <c r="M237" s="20" t="inlineStr">
        <is>
          <t>US</t>
        </is>
      </c>
      <c r="N237" s="20" t="inlineStr">
        <is>
          <t>Troca/ajuste</t>
        </is>
      </c>
      <c r="O237" s="20" t="inlineStr">
        <is>
          <t>Redução</t>
        </is>
      </c>
      <c r="P237" s="20" t="inlineStr">
        <is>
          <t>Troca/ajuste</t>
        </is>
      </c>
      <c r="Q237" s="20" t="n">
        <v>11</v>
      </c>
      <c r="R237" s="20" t="inlineStr">
        <is>
          <t>S-a50803</t>
        </is>
      </c>
      <c r="S237" s="20" t="inlineStr">
        <is>
          <t>S-a50803</t>
        </is>
      </c>
      <c r="T237" s="20" t="inlineStr">
        <is>
          <t>Plano abaixo</t>
        </is>
      </c>
      <c r="U237" s="20" t="inlineStr">
        <is>
          <t>Mudou para anual</t>
        </is>
      </c>
      <c r="V237" s="20" t="inlineStr">
        <is>
          <t>Mais seats</t>
        </is>
      </c>
      <c r="W237" s="20" t="inlineStr">
        <is>
          <t>Sim</t>
        </is>
      </c>
    </row>
    <row r="238">
      <c r="A238" s="20" t="inlineStr">
        <is>
          <t>S-a3927a</t>
        </is>
      </c>
      <c r="B238" s="20" t="inlineStr">
        <is>
          <t>A-378b99</t>
        </is>
      </c>
      <c r="C238" s="20" t="inlineStr">
        <is>
          <t>Rápida (&lt; 30 dias)</t>
        </is>
      </c>
      <c r="D238" s="20" t="inlineStr">
        <is>
          <t>Dez/24</t>
        </is>
      </c>
      <c r="E238" s="20" t="inlineStr">
        <is>
          <t>Sim</t>
        </is>
      </c>
      <c r="F238" s="21" t="n">
        <v>45628</v>
      </c>
      <c r="G238" s="21" t="n">
        <v>45656</v>
      </c>
      <c r="H238" s="20" t="n">
        <v>28</v>
      </c>
      <c r="I238" s="20" t="inlineStr">
        <is>
          <t>Enterprise</t>
        </is>
      </c>
      <c r="J238" s="20" t="inlineStr">
        <is>
          <t>Anual</t>
        </is>
      </c>
      <c r="K238" s="20" t="n">
        <v>8</v>
      </c>
      <c r="L238" s="20" t="inlineStr">
        <is>
          <t>06–10</t>
        </is>
      </c>
      <c r="M238" s="20" t="inlineStr">
        <is>
          <t>UK</t>
        </is>
      </c>
      <c r="N238" s="20" t="inlineStr">
        <is>
          <t>Redução</t>
        </is>
      </c>
      <c r="O238" s="20" t="inlineStr">
        <is>
          <t>Redução</t>
        </is>
      </c>
      <c r="P238" s="20" t="inlineStr">
        <is>
          <t>Redução</t>
        </is>
      </c>
      <c r="Q238" s="20" t="n">
        <v>11</v>
      </c>
      <c r="R238" s="20" t="inlineStr"/>
      <c r="S238" s="20" t="inlineStr"/>
      <c r="T238" s="20" t="inlineStr"/>
      <c r="U238" s="20" t="inlineStr"/>
      <c r="V238" s="20" t="inlineStr"/>
      <c r="W238" s="20" t="inlineStr">
        <is>
          <t>Não</t>
        </is>
      </c>
    </row>
    <row r="239">
      <c r="A239" s="20" t="inlineStr">
        <is>
          <t>S-de7a48</t>
        </is>
      </c>
      <c r="B239" s="20" t="inlineStr">
        <is>
          <t>A-ccc747</t>
        </is>
      </c>
      <c r="C239" s="20" t="inlineStr">
        <is>
          <t>Lenta (30+ dias)</t>
        </is>
      </c>
      <c r="D239" s="20" t="inlineStr">
        <is>
          <t>Dez/24</t>
        </is>
      </c>
      <c r="E239" s="20" t="inlineStr">
        <is>
          <t>Sim</t>
        </is>
      </c>
      <c r="F239" s="21" t="n">
        <v>45580</v>
      </c>
      <c r="G239" s="21" t="n">
        <v>45656</v>
      </c>
      <c r="H239" s="20" t="n">
        <v>76</v>
      </c>
      <c r="I239" s="20" t="inlineStr">
        <is>
          <t>Pro</t>
        </is>
      </c>
      <c r="J239" s="20" t="inlineStr">
        <is>
          <t>Anual</t>
        </is>
      </c>
      <c r="K239" s="20" t="n">
        <v>23</v>
      </c>
      <c r="L239" s="20" t="inlineStr">
        <is>
          <t>21–40</t>
        </is>
      </c>
      <c r="M239" s="20" t="inlineStr">
        <is>
          <t>FR</t>
        </is>
      </c>
      <c r="N239" s="20" t="inlineStr">
        <is>
          <t>Redução</t>
        </is>
      </c>
      <c r="O239" s="20" t="inlineStr">
        <is>
          <t>Redução</t>
        </is>
      </c>
      <c r="P239" s="20" t="inlineStr">
        <is>
          <t>Redução</t>
        </is>
      </c>
      <c r="Q239" s="20" t="n">
        <v>5</v>
      </c>
      <c r="R239" s="20" t="inlineStr"/>
      <c r="S239" s="20" t="inlineStr"/>
      <c r="T239" s="20" t="inlineStr"/>
      <c r="U239" s="20" t="inlineStr"/>
      <c r="V239" s="20" t="inlineStr"/>
      <c r="W239" s="20" t="inlineStr">
        <is>
          <t>Não</t>
        </is>
      </c>
    </row>
    <row r="240">
      <c r="A240" s="20" t="inlineStr">
        <is>
          <t>S-e6a17a</t>
        </is>
      </c>
      <c r="B240" s="20" t="inlineStr">
        <is>
          <t>A-039727</t>
        </is>
      </c>
      <c r="C240" s="20" t="inlineStr">
        <is>
          <t>Rápida (&lt; 30 dias)</t>
        </is>
      </c>
      <c r="D240" s="20" t="inlineStr">
        <is>
          <t>Dez/24</t>
        </is>
      </c>
      <c r="E240" s="20" t="inlineStr">
        <is>
          <t>Sim</t>
        </is>
      </c>
      <c r="F240" s="21" t="n">
        <v>45645</v>
      </c>
      <c r="G240" s="21" t="n">
        <v>45656</v>
      </c>
      <c r="H240" s="20" t="n">
        <v>11</v>
      </c>
      <c r="I240" s="20" t="inlineStr">
        <is>
          <t>Enterprise</t>
        </is>
      </c>
      <c r="J240" s="20" t="inlineStr">
        <is>
          <t>Anual</t>
        </is>
      </c>
      <c r="K240" s="20" t="n">
        <v>25</v>
      </c>
      <c r="L240" s="20" t="inlineStr">
        <is>
          <t>21–40</t>
        </is>
      </c>
      <c r="M240" s="20" t="inlineStr">
        <is>
          <t>AU</t>
        </is>
      </c>
      <c r="N240" s="20" t="inlineStr">
        <is>
          <t>Redução</t>
        </is>
      </c>
      <c r="O240" s="20" t="inlineStr">
        <is>
          <t>Redução</t>
        </is>
      </c>
      <c r="P240" s="20" t="inlineStr">
        <is>
          <t>Troca/ajuste</t>
        </is>
      </c>
      <c r="Q240" s="20" t="n">
        <v>14</v>
      </c>
      <c r="R240" s="20" t="inlineStr"/>
      <c r="S240" s="20" t="inlineStr"/>
      <c r="T240" s="20" t="inlineStr"/>
      <c r="U240" s="20" t="inlineStr"/>
      <c r="V240" s="20" t="inlineStr"/>
      <c r="W240" s="20" t="inlineStr">
        <is>
          <t>Sim</t>
        </is>
      </c>
    </row>
    <row r="241">
      <c r="A241" s="20" t="inlineStr">
        <is>
          <t>S-4bfa1d</t>
        </is>
      </c>
      <c r="B241" s="20" t="inlineStr">
        <is>
          <t>A-ce550d</t>
        </is>
      </c>
      <c r="C241" s="20" t="inlineStr">
        <is>
          <t>Rápida (&lt; 30 dias)</t>
        </is>
      </c>
      <c r="D241" s="20" t="inlineStr">
        <is>
          <t>Dez/24</t>
        </is>
      </c>
      <c r="E241" s="20" t="inlineStr">
        <is>
          <t>Sim</t>
        </is>
      </c>
      <c r="F241" s="21" t="n">
        <v>45647</v>
      </c>
      <c r="G241" s="21" t="n">
        <v>45656</v>
      </c>
      <c r="H241" s="20" t="n">
        <v>9</v>
      </c>
      <c r="I241" s="20" t="inlineStr">
        <is>
          <t>Pro</t>
        </is>
      </c>
      <c r="J241" s="20" t="inlineStr">
        <is>
          <t>Mensal</t>
        </is>
      </c>
      <c r="K241" s="20" t="n">
        <v>35</v>
      </c>
      <c r="L241" s="20" t="inlineStr">
        <is>
          <t>21–40</t>
        </is>
      </c>
      <c r="M241" s="20" t="inlineStr">
        <is>
          <t>US</t>
        </is>
      </c>
      <c r="N241" s="20" t="inlineStr">
        <is>
          <t>Troca/ajuste</t>
        </is>
      </c>
      <c r="O241" s="20" t="inlineStr">
        <is>
          <t>Troca/ajuste</t>
        </is>
      </c>
      <c r="P241" s="20" t="inlineStr">
        <is>
          <t>Troca/ajuste</t>
        </is>
      </c>
      <c r="Q241" s="20" t="n">
        <v>7</v>
      </c>
      <c r="R241" s="20" t="inlineStr">
        <is>
          <t>S-79d1e0</t>
        </is>
      </c>
      <c r="S241" s="20" t="inlineStr">
        <is>
          <t>S-79d1e0</t>
        </is>
      </c>
      <c r="T241" s="20" t="inlineStr">
        <is>
          <t>Plano acima</t>
        </is>
      </c>
      <c r="U241" s="20" t="inlineStr">
        <is>
          <t>Mesma cobrança</t>
        </is>
      </c>
      <c r="V241" s="20" t="inlineStr">
        <is>
          <t>Mais seats</t>
        </is>
      </c>
      <c r="W241" s="20" t="inlineStr">
        <is>
          <t>Sim</t>
        </is>
      </c>
    </row>
    <row r="242">
      <c r="A242" s="20" t="inlineStr">
        <is>
          <t>S-556071</t>
        </is>
      </c>
      <c r="B242" s="20" t="inlineStr">
        <is>
          <t>A-9077b0</t>
        </is>
      </c>
      <c r="C242" s="20" t="inlineStr">
        <is>
          <t>Rápida (&lt; 30 dias)</t>
        </is>
      </c>
      <c r="D242" s="20" t="inlineStr">
        <is>
          <t>Dez/24</t>
        </is>
      </c>
      <c r="E242" s="20" t="inlineStr">
        <is>
          <t>Sim</t>
        </is>
      </c>
      <c r="F242" s="21" t="n">
        <v>45646</v>
      </c>
      <c r="G242" s="21" t="n">
        <v>45656</v>
      </c>
      <c r="H242" s="20" t="n">
        <v>10</v>
      </c>
      <c r="I242" s="20" t="inlineStr">
        <is>
          <t>Pro</t>
        </is>
      </c>
      <c r="J242" s="20" t="inlineStr">
        <is>
          <t>Mensal</t>
        </is>
      </c>
      <c r="K242" s="20" t="n">
        <v>63</v>
      </c>
      <c r="L242" s="20" t="inlineStr">
        <is>
          <t>41–80</t>
        </is>
      </c>
      <c r="M242" s="20" t="inlineStr">
        <is>
          <t>US</t>
        </is>
      </c>
      <c r="N242" s="20" t="inlineStr">
        <is>
          <t>Redução</t>
        </is>
      </c>
      <c r="O242" s="20" t="inlineStr">
        <is>
          <t>Redução</t>
        </is>
      </c>
      <c r="P242" s="20" t="inlineStr">
        <is>
          <t>Troca/ajuste</t>
        </is>
      </c>
      <c r="Q242" s="20" t="n">
        <v>5</v>
      </c>
      <c r="R242" s="20" t="inlineStr"/>
      <c r="S242" s="20" t="inlineStr"/>
      <c r="T242" s="20" t="inlineStr"/>
      <c r="U242" s="20" t="inlineStr"/>
      <c r="V242" s="20" t="inlineStr"/>
      <c r="W242" s="20" t="inlineStr">
        <is>
          <t>Não</t>
        </is>
      </c>
    </row>
    <row r="243">
      <c r="A243" s="20" t="inlineStr">
        <is>
          <t>S-e78857</t>
        </is>
      </c>
      <c r="B243" s="20" t="inlineStr">
        <is>
          <t>A-432483</t>
        </is>
      </c>
      <c r="C243" s="20" t="inlineStr">
        <is>
          <t>Lenta (30+ dias)</t>
        </is>
      </c>
      <c r="D243" s="20" t="inlineStr">
        <is>
          <t>Dez/24</t>
        </is>
      </c>
      <c r="E243" s="20" t="inlineStr">
        <is>
          <t>Sim</t>
        </is>
      </c>
      <c r="F243" s="21" t="n">
        <v>45178</v>
      </c>
      <c r="G243" s="21" t="n">
        <v>45656</v>
      </c>
      <c r="H243" s="20" t="n">
        <v>478</v>
      </c>
      <c r="I243" s="20" t="inlineStr">
        <is>
          <t>Enterprise</t>
        </is>
      </c>
      <c r="J243" s="20" t="inlineStr">
        <is>
          <t>Mensal</t>
        </is>
      </c>
      <c r="K243" s="20" t="n">
        <v>10</v>
      </c>
      <c r="L243" s="20" t="inlineStr">
        <is>
          <t>06–10</t>
        </is>
      </c>
      <c r="M243" s="20" t="inlineStr">
        <is>
          <t>US</t>
        </is>
      </c>
      <c r="N243" s="20" t="inlineStr">
        <is>
          <t>Redução</t>
        </is>
      </c>
      <c r="O243" s="20" t="inlineStr">
        <is>
          <t>Redução</t>
        </is>
      </c>
      <c r="P243" s="20" t="inlineStr">
        <is>
          <t>Redução</t>
        </is>
      </c>
      <c r="Q243" s="20" t="n">
        <v>6</v>
      </c>
      <c r="R243" s="20" t="inlineStr"/>
      <c r="S243" s="20" t="inlineStr"/>
      <c r="T243" s="20" t="inlineStr"/>
      <c r="U243" s="20" t="inlineStr"/>
      <c r="V243" s="20" t="inlineStr"/>
      <c r="W243" s="20" t="inlineStr">
        <is>
          <t>Não</t>
        </is>
      </c>
    </row>
    <row r="244">
      <c r="A244" s="20" t="inlineStr">
        <is>
          <t>S-b89456</t>
        </is>
      </c>
      <c r="B244" s="20" t="inlineStr">
        <is>
          <t>A-13466a</t>
        </is>
      </c>
      <c r="C244" s="20" t="inlineStr">
        <is>
          <t>Lenta (30+ dias)</t>
        </is>
      </c>
      <c r="D244" s="20" t="inlineStr">
        <is>
          <t>Dez/24</t>
        </is>
      </c>
      <c r="E244" s="20" t="inlineStr">
        <is>
          <t>Sim</t>
        </is>
      </c>
      <c r="F244" s="21" t="n">
        <v>45536</v>
      </c>
      <c r="G244" s="21" t="n">
        <v>45657</v>
      </c>
      <c r="H244" s="20" t="n">
        <v>121</v>
      </c>
      <c r="I244" s="20" t="inlineStr">
        <is>
          <t>Enterprise</t>
        </is>
      </c>
      <c r="J244" s="20" t="inlineStr">
        <is>
          <t>Mensal</t>
        </is>
      </c>
      <c r="K244" s="20" t="n">
        <v>4</v>
      </c>
      <c r="L244" s="20" t="inlineStr">
        <is>
          <t>01–05</t>
        </is>
      </c>
      <c r="M244" s="20" t="inlineStr">
        <is>
          <t>AU</t>
        </is>
      </c>
      <c r="N244" s="20" t="inlineStr">
        <is>
          <t>Redução</t>
        </is>
      </c>
      <c r="O244" s="20" t="inlineStr">
        <is>
          <t>Redução</t>
        </is>
      </c>
      <c r="P244" s="20" t="inlineStr">
        <is>
          <t>Redução</t>
        </is>
      </c>
      <c r="Q244" s="20" t="n">
        <v>2</v>
      </c>
      <c r="R244" s="20" t="inlineStr"/>
      <c r="S244" s="20" t="inlineStr"/>
      <c r="T244" s="20" t="inlineStr"/>
      <c r="U244" s="20" t="inlineStr"/>
      <c r="V244" s="20" t="inlineStr"/>
      <c r="W244" s="20" t="inlineStr">
        <is>
          <t>Não</t>
        </is>
      </c>
    </row>
    <row r="245">
      <c r="A245" s="20" t="inlineStr">
        <is>
          <t>S-670476</t>
        </is>
      </c>
      <c r="B245" s="20" t="inlineStr">
        <is>
          <t>A-8b0451</t>
        </is>
      </c>
      <c r="C245" s="20" t="inlineStr">
        <is>
          <t>Lenta (30+ dias)</t>
        </is>
      </c>
      <c r="D245" s="20" t="inlineStr">
        <is>
          <t>Dez/24</t>
        </is>
      </c>
      <c r="E245" s="20" t="inlineStr">
        <is>
          <t>Sim</t>
        </is>
      </c>
      <c r="F245" s="21" t="n">
        <v>45614</v>
      </c>
      <c r="G245" s="21" t="n">
        <v>45657</v>
      </c>
      <c r="H245" s="20" t="n">
        <v>43</v>
      </c>
      <c r="I245" s="20" t="inlineStr">
        <is>
          <t>Enterprise</t>
        </is>
      </c>
      <c r="J245" s="20" t="inlineStr">
        <is>
          <t>Mensal</t>
        </is>
      </c>
      <c r="K245" s="20" t="n">
        <v>41</v>
      </c>
      <c r="L245" s="20" t="inlineStr">
        <is>
          <t>41–80</t>
        </is>
      </c>
      <c r="M245" s="20" t="inlineStr">
        <is>
          <t>UK</t>
        </is>
      </c>
      <c r="N245" s="20" t="inlineStr">
        <is>
          <t>Redução</t>
        </is>
      </c>
      <c r="O245" s="20" t="inlineStr">
        <is>
          <t>Redução</t>
        </is>
      </c>
      <c r="P245" s="20" t="inlineStr">
        <is>
          <t>Troca/ajuste</t>
        </is>
      </c>
      <c r="Q245" s="20" t="n">
        <v>9</v>
      </c>
      <c r="R245" s="20" t="inlineStr"/>
      <c r="S245" s="20" t="inlineStr"/>
      <c r="T245" s="20" t="inlineStr"/>
      <c r="U245" s="20" t="inlineStr"/>
      <c r="V245" s="20" t="inlineStr"/>
      <c r="W245" s="20" t="inlineStr">
        <is>
          <t>Sim</t>
        </is>
      </c>
    </row>
    <row r="246">
      <c r="A246" s="20" t="inlineStr">
        <is>
          <t>S-4f0027</t>
        </is>
      </c>
      <c r="B246" s="20" t="inlineStr">
        <is>
          <t>A-ff79f2</t>
        </is>
      </c>
      <c r="C246" s="20" t="inlineStr">
        <is>
          <t>Rápida (&lt; 30 dias)</t>
        </is>
      </c>
      <c r="D246" s="20" t="inlineStr">
        <is>
          <t>Dez/24</t>
        </is>
      </c>
      <c r="E246" s="20" t="inlineStr">
        <is>
          <t>Sim</t>
        </is>
      </c>
      <c r="F246" s="21" t="n">
        <v>45657</v>
      </c>
      <c r="G246" s="21" t="n">
        <v>45657</v>
      </c>
      <c r="H246" s="20" t="n">
        <v>0</v>
      </c>
      <c r="I246" s="20" t="inlineStr">
        <is>
          <t>Enterprise</t>
        </is>
      </c>
      <c r="J246" s="20" t="inlineStr">
        <is>
          <t>Anual</t>
        </is>
      </c>
      <c r="K246" s="20" t="n">
        <v>19</v>
      </c>
      <c r="L246" s="20" t="inlineStr">
        <is>
          <t>11–20</t>
        </is>
      </c>
      <c r="M246" s="20" t="inlineStr">
        <is>
          <t>US</t>
        </is>
      </c>
      <c r="N246" s="20" t="inlineStr">
        <is>
          <t>Troca/ajuste</t>
        </is>
      </c>
      <c r="O246" s="20" t="inlineStr">
        <is>
          <t>Redução</t>
        </is>
      </c>
      <c r="P246" s="20" t="inlineStr">
        <is>
          <t>Troca/ajuste</t>
        </is>
      </c>
      <c r="Q246" s="20" t="n">
        <v>7</v>
      </c>
      <c r="R246" s="20" t="inlineStr">
        <is>
          <t>S-2ded06</t>
        </is>
      </c>
      <c r="S246" s="20" t="inlineStr">
        <is>
          <t>S-2ded06</t>
        </is>
      </c>
      <c r="T246" s="20" t="inlineStr">
        <is>
          <t>Plano abaixo</t>
        </is>
      </c>
      <c r="U246" s="20" t="inlineStr">
        <is>
          <t>Mudou para mensal</t>
        </is>
      </c>
      <c r="V246" s="20" t="inlineStr">
        <is>
          <t>Mais seats</t>
        </is>
      </c>
      <c r="W246" s="20" t="inlineStr">
        <is>
          <t>Não</t>
        </is>
      </c>
    </row>
    <row r="247">
      <c r="A247" s="20" t="inlineStr">
        <is>
          <t>S-79d1e0</t>
        </is>
      </c>
      <c r="B247" s="20" t="inlineStr">
        <is>
          <t>A-ce550d</t>
        </is>
      </c>
      <c r="C247" s="20" t="inlineStr">
        <is>
          <t>Rápida (&lt; 30 dias)</t>
        </is>
      </c>
      <c r="D247" s="20" t="inlineStr">
        <is>
          <t>Dez/24</t>
        </is>
      </c>
      <c r="E247" s="20" t="inlineStr">
        <is>
          <t>Sim</t>
        </is>
      </c>
      <c r="F247" s="21" t="n">
        <v>45657</v>
      </c>
      <c r="G247" s="21" t="n">
        <v>45657</v>
      </c>
      <c r="H247" s="20" t="n">
        <v>0</v>
      </c>
      <c r="I247" s="20" t="inlineStr">
        <is>
          <t>Enterprise</t>
        </is>
      </c>
      <c r="J247" s="20" t="inlineStr">
        <is>
          <t>Mensal</t>
        </is>
      </c>
      <c r="K247" s="20" t="n">
        <v>109</v>
      </c>
      <c r="L247" s="20" t="inlineStr">
        <is>
          <t>81 ou mais</t>
        </is>
      </c>
      <c r="M247" s="20" t="inlineStr">
        <is>
          <t>US</t>
        </is>
      </c>
      <c r="N247" s="20" t="inlineStr">
        <is>
          <t>Redução</t>
        </is>
      </c>
      <c r="O247" s="20" t="inlineStr">
        <is>
          <t>Redução</t>
        </is>
      </c>
      <c r="P247" s="20" t="inlineStr">
        <is>
          <t>Troca/ajuste</t>
        </is>
      </c>
      <c r="Q247" s="20" t="n">
        <v>7</v>
      </c>
      <c r="R247" s="20" t="inlineStr"/>
      <c r="S247" s="20" t="inlineStr"/>
      <c r="T247" s="20" t="inlineStr"/>
      <c r="U247" s="20" t="inlineStr"/>
      <c r="V247" s="20" t="inlineStr"/>
      <c r="W247" s="20" t="inlineStr">
        <is>
          <t>Sim</t>
        </is>
      </c>
    </row>
    <row r="248">
      <c r="A248" s="20" t="inlineStr">
        <is>
          <t>S-222167</t>
        </is>
      </c>
      <c r="B248" s="20" t="inlineStr">
        <is>
          <t>A-c1e51e</t>
        </is>
      </c>
      <c r="C248" s="20" t="inlineStr">
        <is>
          <t>Rápida (&lt; 30 dias)</t>
        </is>
      </c>
      <c r="D248" s="20" t="inlineStr">
        <is>
          <t>Dez/24</t>
        </is>
      </c>
      <c r="E248" s="20" t="inlineStr">
        <is>
          <t>Sim</t>
        </is>
      </c>
      <c r="F248" s="21" t="n">
        <v>45655</v>
      </c>
      <c r="G248" s="21" t="n">
        <v>45657</v>
      </c>
      <c r="H248" s="20" t="n">
        <v>2</v>
      </c>
      <c r="I248" s="20" t="inlineStr">
        <is>
          <t>Basic</t>
        </is>
      </c>
      <c r="J248" s="20" t="inlineStr">
        <is>
          <t>Anual</t>
        </is>
      </c>
      <c r="K248" s="20" t="n">
        <v>41</v>
      </c>
      <c r="L248" s="20" t="inlineStr">
        <is>
          <t>41–80</t>
        </is>
      </c>
      <c r="M248" s="20" t="inlineStr">
        <is>
          <t>US</t>
        </is>
      </c>
      <c r="N248" s="20" t="inlineStr">
        <is>
          <t>Troca/ajuste</t>
        </is>
      </c>
      <c r="O248" s="20" t="inlineStr">
        <is>
          <t>Redução</t>
        </is>
      </c>
      <c r="P248" s="20" t="inlineStr">
        <is>
          <t>Troca/ajuste</t>
        </is>
      </c>
      <c r="Q248" s="20" t="n">
        <v>7</v>
      </c>
      <c r="R248" s="20" t="inlineStr">
        <is>
          <t>S-9fa080</t>
        </is>
      </c>
      <c r="S248" s="20" t="inlineStr">
        <is>
          <t>S-9fa080</t>
        </is>
      </c>
      <c r="T248" s="20" t="inlineStr">
        <is>
          <t>Plano acima</t>
        </is>
      </c>
      <c r="U248" s="20" t="inlineStr">
        <is>
          <t>Mudou para mensal</t>
        </is>
      </c>
      <c r="V248" s="20" t="inlineStr">
        <is>
          <t>Menos seats</t>
        </is>
      </c>
      <c r="W248" s="20" t="inlineStr">
        <is>
          <t>Sim</t>
        </is>
      </c>
    </row>
    <row r="249">
      <c r="A249" s="20" t="inlineStr">
        <is>
          <t>S-93fab3</t>
        </is>
      </c>
      <c r="B249" s="20" t="inlineStr">
        <is>
          <t>A-9f9299</t>
        </is>
      </c>
      <c r="C249" s="20" t="inlineStr">
        <is>
          <t>Lenta (30+ dias)</t>
        </is>
      </c>
      <c r="D249" s="20" t="inlineStr">
        <is>
          <t>Dez/24</t>
        </is>
      </c>
      <c r="E249" s="20" t="inlineStr">
        <is>
          <t>Sim</t>
        </is>
      </c>
      <c r="F249" s="21" t="n">
        <v>45606</v>
      </c>
      <c r="G249" s="21" t="n">
        <v>45657</v>
      </c>
      <c r="H249" s="20" t="n">
        <v>51</v>
      </c>
      <c r="I249" s="20" t="inlineStr">
        <is>
          <t>Pro</t>
        </is>
      </c>
      <c r="J249" s="20" t="inlineStr">
        <is>
          <t>Anual</t>
        </is>
      </c>
      <c r="K249" s="20" t="n">
        <v>28</v>
      </c>
      <c r="L249" s="20" t="inlineStr">
        <is>
          <t>21–40</t>
        </is>
      </c>
      <c r="M249" s="20" t="inlineStr">
        <is>
          <t>US</t>
        </is>
      </c>
      <c r="N249" s="20" t="inlineStr">
        <is>
          <t>Redução</t>
        </is>
      </c>
      <c r="O249" s="20" t="inlineStr">
        <is>
          <t>Redução</t>
        </is>
      </c>
      <c r="P249" s="20" t="inlineStr">
        <is>
          <t>Redução</t>
        </is>
      </c>
      <c r="Q249" s="20" t="n">
        <v>12</v>
      </c>
      <c r="R249" s="20" t="inlineStr"/>
      <c r="S249" s="20" t="inlineStr"/>
      <c r="T249" s="20" t="inlineStr"/>
      <c r="U249" s="20" t="inlineStr"/>
      <c r="V249" s="20" t="inlineStr"/>
      <c r="W249" s="20" t="inlineStr">
        <is>
          <t>Não</t>
        </is>
      </c>
    </row>
    <row r="250">
      <c r="A250" s="20" t="inlineStr">
        <is>
          <t>S-1e15d1</t>
        </is>
      </c>
      <c r="B250" s="20" t="inlineStr">
        <is>
          <t>A-700ade</t>
        </is>
      </c>
      <c r="C250" s="20" t="inlineStr">
        <is>
          <t>Lenta (30+ dias)</t>
        </is>
      </c>
      <c r="D250" s="20" t="inlineStr">
        <is>
          <t>Dez/24</t>
        </is>
      </c>
      <c r="E250" s="20" t="inlineStr">
        <is>
          <t>Sim</t>
        </is>
      </c>
      <c r="F250" s="21" t="n">
        <v>45613</v>
      </c>
      <c r="G250" s="21" t="n">
        <v>45657</v>
      </c>
      <c r="H250" s="20" t="n">
        <v>44</v>
      </c>
      <c r="I250" s="20" t="inlineStr">
        <is>
          <t>Pro</t>
        </is>
      </c>
      <c r="J250" s="20" t="inlineStr">
        <is>
          <t>Anual</t>
        </is>
      </c>
      <c r="K250" s="20" t="n">
        <v>25</v>
      </c>
      <c r="L250" s="20" t="inlineStr">
        <is>
          <t>21–40</t>
        </is>
      </c>
      <c r="M250" s="20" t="inlineStr">
        <is>
          <t>UK</t>
        </is>
      </c>
      <c r="N250" s="20" t="inlineStr">
        <is>
          <t>Troca/ajuste</t>
        </is>
      </c>
      <c r="O250" s="20" t="inlineStr">
        <is>
          <t>Troca/ajuste</t>
        </is>
      </c>
      <c r="P250" s="20" t="inlineStr">
        <is>
          <t>Troca/ajuste</t>
        </is>
      </c>
      <c r="Q250" s="20" t="n">
        <v>6</v>
      </c>
      <c r="R250" s="20" t="inlineStr">
        <is>
          <t>S-15a8c0</t>
        </is>
      </c>
      <c r="S250" s="20" t="inlineStr">
        <is>
          <t>S-15a8c0</t>
        </is>
      </c>
      <c r="T250" s="20" t="inlineStr">
        <is>
          <t>Plano abaixo</t>
        </is>
      </c>
      <c r="U250" s="20" t="inlineStr">
        <is>
          <t>Mudou para mensal</t>
        </is>
      </c>
      <c r="V250" s="20" t="inlineStr">
        <is>
          <t>Mais seats</t>
        </is>
      </c>
      <c r="W250" s="20" t="inlineStr">
        <is>
          <t>Não</t>
        </is>
      </c>
    </row>
    <row r="251">
      <c r="A251" s="20" t="inlineStr">
        <is>
          <t>S-9d7c19</t>
        </is>
      </c>
      <c r="B251" s="20" t="inlineStr">
        <is>
          <t>A-82d8a6</t>
        </is>
      </c>
      <c r="C251" s="20" t="inlineStr">
        <is>
          <t>Rápida (&lt; 30 dias)</t>
        </is>
      </c>
      <c r="D251" s="20" t="inlineStr">
        <is>
          <t>Dez/24</t>
        </is>
      </c>
      <c r="E251" s="20" t="inlineStr">
        <is>
          <t>Sim</t>
        </is>
      </c>
      <c r="F251" s="21" t="n">
        <v>45657</v>
      </c>
      <c r="G251" s="21" t="n">
        <v>45657</v>
      </c>
      <c r="H251" s="20" t="n">
        <v>0</v>
      </c>
      <c r="I251" s="20" t="inlineStr">
        <is>
          <t>Pro</t>
        </is>
      </c>
      <c r="J251" s="20" t="inlineStr">
        <is>
          <t>Anual</t>
        </is>
      </c>
      <c r="K251" s="20" t="n">
        <v>5</v>
      </c>
      <c r="L251" s="20" t="inlineStr">
        <is>
          <t>01–05</t>
        </is>
      </c>
      <c r="M251" s="20" t="inlineStr">
        <is>
          <t>UK</t>
        </is>
      </c>
      <c r="N251" s="20" t="inlineStr">
        <is>
          <t>Troca/ajuste</t>
        </is>
      </c>
      <c r="O251" s="20" t="inlineStr">
        <is>
          <t>Troca/ajuste</t>
        </is>
      </c>
      <c r="P251" s="20" t="inlineStr">
        <is>
          <t>Troca/ajuste</t>
        </is>
      </c>
      <c r="Q251" s="20" t="n">
        <v>13</v>
      </c>
      <c r="R251" s="20" t="inlineStr">
        <is>
          <t>S-51b668, S-2f11bb, S-c3b622, S-c15f06</t>
        </is>
      </c>
      <c r="S251" s="20" t="inlineStr">
        <is>
          <t>S-2f11bb</t>
        </is>
      </c>
      <c r="T251" s="20" t="inlineStr">
        <is>
          <t>Mesmo plano</t>
        </is>
      </c>
      <c r="U251" s="20" t="inlineStr">
        <is>
          <t>Mesma cobrança</t>
        </is>
      </c>
      <c r="V251" s="20" t="inlineStr">
        <is>
          <t>Mesmos seats</t>
        </is>
      </c>
      <c r="W251" s="20" t="inlineStr">
        <is>
          <t>Sim</t>
        </is>
      </c>
    </row>
    <row r="252">
      <c r="A252" s="20" t="inlineStr">
        <is>
          <t>S-6ef81d</t>
        </is>
      </c>
      <c r="B252" s="20" t="inlineStr">
        <is>
          <t>A-0b0d6d</t>
        </is>
      </c>
      <c r="C252" s="20" t="inlineStr">
        <is>
          <t>Rápida (&lt; 30 dias)</t>
        </is>
      </c>
      <c r="D252" s="20" t="inlineStr">
        <is>
          <t>Dez/24</t>
        </is>
      </c>
      <c r="E252" s="20" t="inlineStr">
        <is>
          <t>Sim</t>
        </is>
      </c>
      <c r="F252" s="21" t="n">
        <v>45656</v>
      </c>
      <c r="G252" s="21" t="n">
        <v>45657</v>
      </c>
      <c r="H252" s="20" t="n">
        <v>1</v>
      </c>
      <c r="I252" s="20" t="inlineStr">
        <is>
          <t>Basic</t>
        </is>
      </c>
      <c r="J252" s="20" t="inlineStr">
        <is>
          <t>Anual</t>
        </is>
      </c>
      <c r="K252" s="20" t="n">
        <v>25</v>
      </c>
      <c r="L252" s="20" t="inlineStr">
        <is>
          <t>21–40</t>
        </is>
      </c>
      <c r="M252" s="20" t="inlineStr">
        <is>
          <t>US</t>
        </is>
      </c>
      <c r="N252" s="20" t="inlineStr">
        <is>
          <t>Troca/ajuste</t>
        </is>
      </c>
      <c r="O252" s="20" t="inlineStr">
        <is>
          <t>Troca/ajuste</t>
        </is>
      </c>
      <c r="P252" s="20" t="inlineStr">
        <is>
          <t>Troca/ajuste</t>
        </is>
      </c>
      <c r="Q252" s="20" t="n">
        <v>11</v>
      </c>
      <c r="R252" s="20" t="inlineStr">
        <is>
          <t>S-a69aed, S-b35b20, S-a405f7, S-b81c97, S-246942, S-3236ee, S-7e145e, S-5e0619, S-6f47c5, S-5c4dd7, S-196e49, S-ef2703</t>
        </is>
      </c>
      <c r="S252" s="20" t="inlineStr">
        <is>
          <t>S-b35b20</t>
        </is>
      </c>
      <c r="T252" s="20" t="inlineStr">
        <is>
          <t>Plano acima</t>
        </is>
      </c>
      <c r="U252" s="20" t="inlineStr">
        <is>
          <t>Mudou para mensal</t>
        </is>
      </c>
      <c r="V252" s="20" t="inlineStr">
        <is>
          <t>Menos seats</t>
        </is>
      </c>
      <c r="W252" s="20" t="inlineStr">
        <is>
          <t>Sim</t>
        </is>
      </c>
    </row>
    <row r="253">
      <c r="A253" s="20" t="inlineStr">
        <is>
          <t>S-ef7534</t>
        </is>
      </c>
      <c r="B253" s="20" t="inlineStr">
        <is>
          <t>A-ffdfd5</t>
        </is>
      </c>
      <c r="C253" s="20" t="inlineStr">
        <is>
          <t>Rápida (&lt; 30 dias)</t>
        </is>
      </c>
      <c r="D253" s="20" t="inlineStr">
        <is>
          <t>Dez/24</t>
        </is>
      </c>
      <c r="E253" s="20" t="inlineStr">
        <is>
          <t>Sim</t>
        </is>
      </c>
      <c r="F253" s="21" t="n">
        <v>45646</v>
      </c>
      <c r="G253" s="21" t="n">
        <v>45657</v>
      </c>
      <c r="H253" s="20" t="n">
        <v>11</v>
      </c>
      <c r="I253" s="20" t="inlineStr">
        <is>
          <t>Pro</t>
        </is>
      </c>
      <c r="J253" s="20" t="inlineStr">
        <is>
          <t>Mensal</t>
        </is>
      </c>
      <c r="K253" s="20" t="n">
        <v>3</v>
      </c>
      <c r="L253" s="20" t="inlineStr">
        <is>
          <t>01–05</t>
        </is>
      </c>
      <c r="M253" s="20" t="inlineStr">
        <is>
          <t>US</t>
        </is>
      </c>
      <c r="N253" s="20" t="inlineStr">
        <is>
          <t>Redução</t>
        </is>
      </c>
      <c r="O253" s="20" t="inlineStr">
        <is>
          <t>Redução</t>
        </is>
      </c>
      <c r="P253" s="20" t="inlineStr">
        <is>
          <t>Redução</t>
        </is>
      </c>
      <c r="Q253" s="20" t="n">
        <v>9</v>
      </c>
      <c r="R253" s="20" t="inlineStr"/>
      <c r="S253" s="20" t="inlineStr"/>
      <c r="T253" s="20" t="inlineStr"/>
      <c r="U253" s="20" t="inlineStr"/>
      <c r="V253" s="20" t="inlineStr"/>
      <c r="W253" s="20" t="inlineStr">
        <is>
          <t>Não</t>
        </is>
      </c>
    </row>
    <row r="254">
      <c r="A254" s="20" t="inlineStr">
        <is>
          <t>S-9e450b</t>
        </is>
      </c>
      <c r="B254" s="20" t="inlineStr">
        <is>
          <t>A-89ee83</t>
        </is>
      </c>
      <c r="C254" s="20" t="inlineStr">
        <is>
          <t>Rápida (&lt; 30 dias)</t>
        </is>
      </c>
      <c r="D254" s="20" t="inlineStr">
        <is>
          <t>Dez/24</t>
        </is>
      </c>
      <c r="E254" s="20" t="inlineStr">
        <is>
          <t>Sim</t>
        </is>
      </c>
      <c r="F254" s="21" t="n">
        <v>45647</v>
      </c>
      <c r="G254" s="21" t="n">
        <v>45657</v>
      </c>
      <c r="H254" s="20" t="n">
        <v>10</v>
      </c>
      <c r="I254" s="20" t="inlineStr">
        <is>
          <t>Enterprise</t>
        </is>
      </c>
      <c r="J254" s="20" t="inlineStr">
        <is>
          <t>Mensal</t>
        </is>
      </c>
      <c r="K254" s="20" t="n">
        <v>23</v>
      </c>
      <c r="L254" s="20" t="inlineStr">
        <is>
          <t>21–40</t>
        </is>
      </c>
      <c r="M254" s="20" t="inlineStr">
        <is>
          <t>US</t>
        </is>
      </c>
      <c r="N254" s="20" t="inlineStr">
        <is>
          <t>Troca/ajuste</t>
        </is>
      </c>
      <c r="O254" s="20" t="inlineStr">
        <is>
          <t>Redução</t>
        </is>
      </c>
      <c r="P254" s="20" t="inlineStr">
        <is>
          <t>Troca/ajuste</t>
        </is>
      </c>
      <c r="Q254" s="20" t="n">
        <v>9</v>
      </c>
      <c r="R254" s="20" t="inlineStr">
        <is>
          <t>S-f5f5b3, S-bf304b</t>
        </is>
      </c>
      <c r="S254" s="20" t="inlineStr">
        <is>
          <t>S-bf304b</t>
        </is>
      </c>
      <c r="T254" s="20" t="inlineStr">
        <is>
          <t>Mesmo plano</t>
        </is>
      </c>
      <c r="U254" s="20" t="inlineStr">
        <is>
          <t>Mesma cobrança</t>
        </is>
      </c>
      <c r="V254" s="20" t="inlineStr">
        <is>
          <t>Menos seats</t>
        </is>
      </c>
      <c r="W254" s="20" t="inlineStr">
        <is>
          <t>Não</t>
        </is>
      </c>
    </row>
    <row r="255">
      <c r="A255" s="20" t="inlineStr">
        <is>
          <t>S-7c2997</t>
        </is>
      </c>
      <c r="B255" s="20" t="inlineStr">
        <is>
          <t>A-c1e51e</t>
        </is>
      </c>
      <c r="C255" s="20" t="inlineStr">
        <is>
          <t>Rápida (&lt; 30 dias)</t>
        </is>
      </c>
      <c r="D255" s="20" t="inlineStr">
        <is>
          <t>Dez/24</t>
        </is>
      </c>
      <c r="E255" s="20" t="inlineStr">
        <is>
          <t>Sim</t>
        </is>
      </c>
      <c r="F255" s="21" t="n">
        <v>45647</v>
      </c>
      <c r="G255" s="21" t="n">
        <v>45657</v>
      </c>
      <c r="H255" s="20" t="n">
        <v>10</v>
      </c>
      <c r="I255" s="20" t="inlineStr">
        <is>
          <t>Pro</t>
        </is>
      </c>
      <c r="J255" s="20" t="inlineStr">
        <is>
          <t>Anual</t>
        </is>
      </c>
      <c r="K255" s="20" t="n">
        <v>32</v>
      </c>
      <c r="L255" s="20" t="inlineStr">
        <is>
          <t>21–40</t>
        </is>
      </c>
      <c r="M255" s="20" t="inlineStr">
        <is>
          <t>US</t>
        </is>
      </c>
      <c r="N255" s="20" t="inlineStr">
        <is>
          <t>Troca/ajuste</t>
        </is>
      </c>
      <c r="O255" s="20" t="inlineStr">
        <is>
          <t>Troca/ajuste</t>
        </is>
      </c>
      <c r="P255" s="20" t="inlineStr">
        <is>
          <t>Troca/ajuste</t>
        </is>
      </c>
      <c r="Q255" s="20" t="n">
        <v>7</v>
      </c>
      <c r="R255" s="20" t="inlineStr">
        <is>
          <t>S-222167, S-9fa080</t>
        </is>
      </c>
      <c r="S255" s="20" t="inlineStr">
        <is>
          <t>S-222167</t>
        </is>
      </c>
      <c r="T255" s="20" t="inlineStr">
        <is>
          <t>Plano abaixo</t>
        </is>
      </c>
      <c r="U255" s="20" t="inlineStr">
        <is>
          <t>Mesma cobrança</t>
        </is>
      </c>
      <c r="V255" s="20" t="inlineStr">
        <is>
          <t>Mais seats</t>
        </is>
      </c>
      <c r="W255" s="20" t="inlineStr">
        <is>
          <t>Sim</t>
        </is>
      </c>
    </row>
    <row r="256">
      <c r="A256" s="20" t="inlineStr">
        <is>
          <t>S-80c24c</t>
        </is>
      </c>
      <c r="B256" s="20" t="inlineStr">
        <is>
          <t>A-139c3b</t>
        </is>
      </c>
      <c r="C256" s="20" t="inlineStr">
        <is>
          <t>Lenta (30+ dias)</t>
        </is>
      </c>
      <c r="D256" s="20" t="inlineStr">
        <is>
          <t>Dez/24</t>
        </is>
      </c>
      <c r="E256" s="20" t="inlineStr">
        <is>
          <t>Sim</t>
        </is>
      </c>
      <c r="F256" s="21" t="n">
        <v>45622</v>
      </c>
      <c r="G256" s="21" t="n">
        <v>45657</v>
      </c>
      <c r="H256" s="20" t="n">
        <v>35</v>
      </c>
      <c r="I256" s="20" t="inlineStr">
        <is>
          <t>Pro</t>
        </is>
      </c>
      <c r="J256" s="20" t="inlineStr">
        <is>
          <t>Mensal</t>
        </is>
      </c>
      <c r="K256" s="20" t="n">
        <v>17</v>
      </c>
      <c r="L256" s="20" t="inlineStr">
        <is>
          <t>11–20</t>
        </is>
      </c>
      <c r="M256" s="20" t="inlineStr">
        <is>
          <t>US</t>
        </is>
      </c>
      <c r="N256" s="20" t="inlineStr">
        <is>
          <t>Troca/ajuste</t>
        </is>
      </c>
      <c r="O256" s="20" t="inlineStr">
        <is>
          <t>Troca/ajuste</t>
        </is>
      </c>
      <c r="P256" s="20" t="inlineStr">
        <is>
          <t>Troca/ajuste</t>
        </is>
      </c>
      <c r="Q256" s="20" t="n">
        <v>6</v>
      </c>
      <c r="R256" s="20" t="inlineStr">
        <is>
          <t>S-6fa3a3, S-e1444a</t>
        </is>
      </c>
      <c r="S256" s="20" t="inlineStr">
        <is>
          <t>S-6fa3a3</t>
        </is>
      </c>
      <c r="T256" s="20" t="inlineStr">
        <is>
          <t>Mesmo plano</t>
        </is>
      </c>
      <c r="U256" s="20" t="inlineStr">
        <is>
          <t>Mudou para anual</t>
        </is>
      </c>
      <c r="V256" s="20" t="inlineStr">
        <is>
          <t>Menos seats</t>
        </is>
      </c>
      <c r="W256" s="20" t="inlineStr">
        <is>
          <t>Não</t>
        </is>
      </c>
    </row>
    <row r="257">
      <c r="A257" s="20" t="inlineStr">
        <is>
          <t>S-7e09c4</t>
        </is>
      </c>
      <c r="B257" s="20" t="inlineStr">
        <is>
          <t>A-118f1c</t>
        </is>
      </c>
      <c r="C257" s="20" t="inlineStr">
        <is>
          <t>Rápida (&lt; 30 dias)</t>
        </is>
      </c>
      <c r="D257" s="20" t="inlineStr">
        <is>
          <t>Dez/24</t>
        </is>
      </c>
      <c r="E257" s="20" t="inlineStr">
        <is>
          <t>Sim</t>
        </is>
      </c>
      <c r="F257" s="21" t="n">
        <v>45647</v>
      </c>
      <c r="G257" s="21" t="n">
        <v>45657</v>
      </c>
      <c r="H257" s="20" t="n">
        <v>10</v>
      </c>
      <c r="I257" s="20" t="inlineStr">
        <is>
          <t>Basic</t>
        </is>
      </c>
      <c r="J257" s="20" t="inlineStr">
        <is>
          <t>Anual</t>
        </is>
      </c>
      <c r="K257" s="20" t="n">
        <v>32</v>
      </c>
      <c r="L257" s="20" t="inlineStr">
        <is>
          <t>21–40</t>
        </is>
      </c>
      <c r="M257" s="20" t="inlineStr">
        <is>
          <t>US</t>
        </is>
      </c>
      <c r="N257" s="20" t="inlineStr">
        <is>
          <t>Troca/ajuste</t>
        </is>
      </c>
      <c r="O257" s="20" t="inlineStr">
        <is>
          <t>Troca/ajuste</t>
        </is>
      </c>
      <c r="P257" s="20" t="inlineStr">
        <is>
          <t>Troca/ajuste</t>
        </is>
      </c>
      <c r="Q257" s="20" t="n">
        <v>6</v>
      </c>
      <c r="R257" s="20" t="inlineStr">
        <is>
          <t>S-3fb8f4, S-9f8b23</t>
        </is>
      </c>
      <c r="S257" s="20" t="inlineStr">
        <is>
          <t>S-3fb8f4</t>
        </is>
      </c>
      <c r="T257" s="20" t="inlineStr">
        <is>
          <t>Plano acima</t>
        </is>
      </c>
      <c r="U257" s="20" t="inlineStr">
        <is>
          <t>Mesma cobrança</t>
        </is>
      </c>
      <c r="V257" s="20" t="inlineStr">
        <is>
          <t>Mesmos seats</t>
        </is>
      </c>
      <c r="W257" s="20" t="inlineStr">
        <is>
          <t>Sim</t>
        </is>
      </c>
    </row>
    <row r="258">
      <c r="A258" s="20" t="inlineStr">
        <is>
          <t>S-91709b</t>
        </is>
      </c>
      <c r="B258" s="20" t="inlineStr">
        <is>
          <t>A-ab438f</t>
        </is>
      </c>
      <c r="C258" s="20" t="inlineStr">
        <is>
          <t>Lenta (30+ dias)</t>
        </is>
      </c>
      <c r="D258" s="20" t="inlineStr">
        <is>
          <t>Dez/24</t>
        </is>
      </c>
      <c r="E258" s="20" t="inlineStr">
        <is>
          <t>Sim</t>
        </is>
      </c>
      <c r="F258" s="21" t="n">
        <v>45622</v>
      </c>
      <c r="G258" s="21" t="n">
        <v>45657</v>
      </c>
      <c r="H258" s="20" t="n">
        <v>35</v>
      </c>
      <c r="I258" s="20" t="inlineStr">
        <is>
          <t>Enterprise</t>
        </is>
      </c>
      <c r="J258" s="20" t="inlineStr">
        <is>
          <t>Anual</t>
        </is>
      </c>
      <c r="K258" s="20" t="n">
        <v>23</v>
      </c>
      <c r="L258" s="20" t="inlineStr">
        <is>
          <t>21–40</t>
        </is>
      </c>
      <c r="M258" s="20" t="inlineStr">
        <is>
          <t>US</t>
        </is>
      </c>
      <c r="N258" s="20" t="inlineStr">
        <is>
          <t>Troca/ajuste</t>
        </is>
      </c>
      <c r="O258" s="20" t="inlineStr">
        <is>
          <t>Redução</t>
        </is>
      </c>
      <c r="P258" s="20" t="inlineStr">
        <is>
          <t>Troca/ajuste</t>
        </is>
      </c>
      <c r="Q258" s="20" t="n">
        <v>5</v>
      </c>
      <c r="R258" s="20" t="inlineStr">
        <is>
          <t>S-f0e458</t>
        </is>
      </c>
      <c r="S258" s="20" t="inlineStr">
        <is>
          <t>S-f0e458</t>
        </is>
      </c>
      <c r="T258" s="20" t="inlineStr">
        <is>
          <t>Plano abaixo</t>
        </is>
      </c>
      <c r="U258" s="20" t="inlineStr">
        <is>
          <t>Mudou para mensal</t>
        </is>
      </c>
      <c r="V258" s="20" t="inlineStr">
        <is>
          <t>Mais seats</t>
        </is>
      </c>
      <c r="W258" s="20" t="inlineStr">
        <is>
          <t>Sim</t>
        </is>
      </c>
    </row>
    <row r="259">
      <c r="A259" s="20" t="inlineStr">
        <is>
          <t>S-88cc86</t>
        </is>
      </c>
      <c r="B259" s="20" t="inlineStr">
        <is>
          <t>A-80eeb6</t>
        </is>
      </c>
      <c r="C259" s="20" t="inlineStr">
        <is>
          <t>Rápida (&lt; 30 dias)</t>
        </is>
      </c>
      <c r="D259" s="20" t="inlineStr">
        <is>
          <t>Dez/24</t>
        </is>
      </c>
      <c r="E259" s="20" t="inlineStr">
        <is>
          <t>Sim</t>
        </is>
      </c>
      <c r="F259" s="21" t="n">
        <v>45646</v>
      </c>
      <c r="G259" s="21" t="n">
        <v>45657</v>
      </c>
      <c r="H259" s="20" t="n">
        <v>11</v>
      </c>
      <c r="I259" s="20" t="inlineStr">
        <is>
          <t>Enterprise</t>
        </is>
      </c>
      <c r="J259" s="20" t="inlineStr">
        <is>
          <t>Anual</t>
        </is>
      </c>
      <c r="K259" s="20" t="n">
        <v>22</v>
      </c>
      <c r="L259" s="20" t="inlineStr">
        <is>
          <t>21–40</t>
        </is>
      </c>
      <c r="M259" s="20" t="inlineStr">
        <is>
          <t>UK</t>
        </is>
      </c>
      <c r="N259" s="20" t="inlineStr">
        <is>
          <t>Redução</t>
        </is>
      </c>
      <c r="O259" s="20" t="inlineStr">
        <is>
          <t>Redução</t>
        </is>
      </c>
      <c r="P259" s="20" t="inlineStr">
        <is>
          <t>Redução</t>
        </is>
      </c>
      <c r="Q259" s="20" t="n">
        <v>13</v>
      </c>
      <c r="R259" s="20" t="inlineStr"/>
      <c r="S259" s="20" t="inlineStr"/>
      <c r="T259" s="20" t="inlineStr"/>
      <c r="U259" s="20" t="inlineStr"/>
      <c r="V259" s="20" t="inlineStr"/>
      <c r="W259" s="20" t="inlineStr">
        <is>
          <t>Não</t>
        </is>
      </c>
    </row>
    <row r="260">
      <c r="A260" s="20" t="inlineStr">
        <is>
          <t>S-1131ff</t>
        </is>
      </c>
      <c r="B260" s="20" t="inlineStr">
        <is>
          <t>A-0f7d77</t>
        </is>
      </c>
      <c r="C260" s="20" t="inlineStr">
        <is>
          <t>Lenta (30+ dias)</t>
        </is>
      </c>
      <c r="D260" s="20" t="inlineStr">
        <is>
          <t>Dez/24</t>
        </is>
      </c>
      <c r="E260" s="20" t="inlineStr">
        <is>
          <t>Sim</t>
        </is>
      </c>
      <c r="F260" s="21" t="n">
        <v>45627</v>
      </c>
      <c r="G260" s="21" t="n">
        <v>45657</v>
      </c>
      <c r="H260" s="20" t="n">
        <v>30</v>
      </c>
      <c r="I260" s="20" t="inlineStr">
        <is>
          <t>Basic</t>
        </is>
      </c>
      <c r="J260" s="20" t="inlineStr">
        <is>
          <t>Mensal</t>
        </is>
      </c>
      <c r="K260" s="20" t="n">
        <v>3</v>
      </c>
      <c r="L260" s="20" t="inlineStr">
        <is>
          <t>01–05</t>
        </is>
      </c>
      <c r="M260" s="20" t="inlineStr">
        <is>
          <t>IN</t>
        </is>
      </c>
      <c r="N260" s="20" t="inlineStr">
        <is>
          <t>Troca/ajuste</t>
        </is>
      </c>
      <c r="O260" s="20" t="inlineStr">
        <is>
          <t>Troca/ajuste</t>
        </is>
      </c>
      <c r="P260" s="20" t="inlineStr">
        <is>
          <t>Troca/ajuste</t>
        </is>
      </c>
      <c r="Q260" s="20" t="n">
        <v>5</v>
      </c>
      <c r="R260" s="20" t="inlineStr">
        <is>
          <t>S-47048b</t>
        </is>
      </c>
      <c r="S260" s="20" t="inlineStr">
        <is>
          <t>S-47048b</t>
        </is>
      </c>
      <c r="T260" s="20" t="inlineStr">
        <is>
          <t>Mesmo plano</t>
        </is>
      </c>
      <c r="U260" s="20" t="inlineStr">
        <is>
          <t>Mudou para anual</t>
        </is>
      </c>
      <c r="V260" s="20" t="inlineStr">
        <is>
          <t>Mais seats</t>
        </is>
      </c>
      <c r="W260" s="20" t="inlineStr">
        <is>
          <t>Sim</t>
        </is>
      </c>
    </row>
    <row r="261">
      <c r="A261" s="20" t="inlineStr">
        <is>
          <t>S-2e0575</t>
        </is>
      </c>
      <c r="B261" s="20" t="inlineStr">
        <is>
          <t>A-4814a3</t>
        </is>
      </c>
      <c r="C261" s="20" t="inlineStr">
        <is>
          <t>Lenta (30+ dias)</t>
        </is>
      </c>
      <c r="D261" s="20" t="inlineStr">
        <is>
          <t>Dez/24</t>
        </is>
      </c>
      <c r="E261" s="20" t="inlineStr">
        <is>
          <t>Sim</t>
        </is>
      </c>
      <c r="F261" s="21" t="n">
        <v>45602</v>
      </c>
      <c r="G261" s="21" t="n">
        <v>45657</v>
      </c>
      <c r="H261" s="20" t="n">
        <v>55</v>
      </c>
      <c r="I261" s="20" t="inlineStr">
        <is>
          <t>Enterprise</t>
        </is>
      </c>
      <c r="J261" s="20" t="inlineStr">
        <is>
          <t>Anual</t>
        </is>
      </c>
      <c r="K261" s="20" t="n">
        <v>87</v>
      </c>
      <c r="L261" s="20" t="inlineStr">
        <is>
          <t>81 ou mais</t>
        </is>
      </c>
      <c r="M261" s="20" t="inlineStr">
        <is>
          <t>IN</t>
        </is>
      </c>
      <c r="N261" s="20" t="inlineStr">
        <is>
          <t>Troca/ajuste</t>
        </is>
      </c>
      <c r="O261" s="20" t="inlineStr">
        <is>
          <t>Troca/ajuste</t>
        </is>
      </c>
      <c r="P261" s="20" t="inlineStr">
        <is>
          <t>Troca/ajuste</t>
        </is>
      </c>
      <c r="Q261" s="20" t="n">
        <v>10</v>
      </c>
      <c r="R261" s="20" t="inlineStr">
        <is>
          <t>S-cd6d68</t>
        </is>
      </c>
      <c r="S261" s="20" t="inlineStr">
        <is>
          <t>S-cd6d68</t>
        </is>
      </c>
      <c r="T261" s="20" t="inlineStr">
        <is>
          <t>Plano abaixo</t>
        </is>
      </c>
      <c r="U261" s="20" t="inlineStr">
        <is>
          <t>Mudou para mensal</t>
        </is>
      </c>
      <c r="V261" s="20" t="inlineStr">
        <is>
          <t>Mesmos seats</t>
        </is>
      </c>
      <c r="W261" s="20" t="inlineStr">
        <is>
          <t>Sim</t>
        </is>
      </c>
    </row>
    <row r="262">
      <c r="A262" s="20" t="inlineStr">
        <is>
          <t>S-6f47c5</t>
        </is>
      </c>
      <c r="B262" s="20" t="inlineStr">
        <is>
          <t>A-0b0d6d</t>
        </is>
      </c>
      <c r="C262" s="20" t="inlineStr">
        <is>
          <t>Rápida (&lt; 30 dias)</t>
        </is>
      </c>
      <c r="D262" s="20" t="inlineStr">
        <is>
          <t>Dez/24</t>
        </is>
      </c>
      <c r="E262" s="20" t="inlineStr">
        <is>
          <t>Sim</t>
        </is>
      </c>
      <c r="F262" s="21" t="n">
        <v>45657</v>
      </c>
      <c r="G262" s="21" t="n">
        <v>45657</v>
      </c>
      <c r="H262" s="20" t="n">
        <v>0</v>
      </c>
      <c r="I262" s="20" t="inlineStr">
        <is>
          <t>Enterprise</t>
        </is>
      </c>
      <c r="J262" s="20" t="inlineStr">
        <is>
          <t>Anual</t>
        </is>
      </c>
      <c r="K262" s="20" t="n">
        <v>13</v>
      </c>
      <c r="L262" s="20" t="inlineStr">
        <is>
          <t>11–20</t>
        </is>
      </c>
      <c r="M262" s="20" t="inlineStr">
        <is>
          <t>US</t>
        </is>
      </c>
      <c r="N262" s="20" t="inlineStr">
        <is>
          <t>Troca/ajuste</t>
        </is>
      </c>
      <c r="O262" s="20" t="inlineStr">
        <is>
          <t>Troca/ajuste</t>
        </is>
      </c>
      <c r="P262" s="20" t="inlineStr">
        <is>
          <t>Troca/ajuste</t>
        </is>
      </c>
      <c r="Q262" s="20" t="n">
        <v>11</v>
      </c>
      <c r="R262" s="20" t="inlineStr">
        <is>
          <t>S-a69aed, S-b35b20, S-a405f7, S-b81c97, S-246942, S-3236ee, S-6ef81d, S-7e145e, S-5e0619, S-5c4dd7, S-196e49, S-ef2703</t>
        </is>
      </c>
      <c r="S262" s="20" t="inlineStr">
        <is>
          <t>S-b35b20</t>
        </is>
      </c>
      <c r="T262" s="20" t="inlineStr">
        <is>
          <t>Plano abaixo</t>
        </is>
      </c>
      <c r="U262" s="20" t="inlineStr">
        <is>
          <t>Mudou para mensal</t>
        </is>
      </c>
      <c r="V262" s="20" t="inlineStr">
        <is>
          <t>Menos seats</t>
        </is>
      </c>
      <c r="W262" s="20" t="inlineStr">
        <is>
          <t>Sim</t>
        </is>
      </c>
    </row>
    <row r="263">
      <c r="A263" s="20" t="inlineStr">
        <is>
          <t>S-1e1853</t>
        </is>
      </c>
      <c r="B263" s="20" t="inlineStr">
        <is>
          <t>A-089363</t>
        </is>
      </c>
      <c r="C263" s="20" t="inlineStr">
        <is>
          <t>Lenta (30+ dias)</t>
        </is>
      </c>
      <c r="D263" s="20" t="inlineStr">
        <is>
          <t>Dez/24</t>
        </is>
      </c>
      <c r="E263" s="20" t="inlineStr">
        <is>
          <t>Sim</t>
        </is>
      </c>
      <c r="F263" s="21" t="n">
        <v>45621</v>
      </c>
      <c r="G263" s="21" t="n">
        <v>45657</v>
      </c>
      <c r="H263" s="20" t="n">
        <v>36</v>
      </c>
      <c r="I263" s="20" t="inlineStr">
        <is>
          <t>Enterprise</t>
        </is>
      </c>
      <c r="J263" s="20" t="inlineStr">
        <is>
          <t>Mensal</t>
        </is>
      </c>
      <c r="K263" s="20" t="n">
        <v>26</v>
      </c>
      <c r="L263" s="20" t="inlineStr">
        <is>
          <t>21–40</t>
        </is>
      </c>
      <c r="M263" s="20" t="inlineStr">
        <is>
          <t>AU</t>
        </is>
      </c>
      <c r="N263" s="20" t="inlineStr">
        <is>
          <t>Redução</t>
        </is>
      </c>
      <c r="O263" s="20" t="inlineStr">
        <is>
          <t>Redução</t>
        </is>
      </c>
      <c r="P263" s="20" t="inlineStr">
        <is>
          <t>Redução</t>
        </is>
      </c>
      <c r="Q263" s="20" t="n">
        <v>12</v>
      </c>
      <c r="R263" s="20" t="inlineStr"/>
      <c r="S263" s="20" t="inlineStr"/>
      <c r="T263" s="20" t="inlineStr"/>
      <c r="U263" s="20" t="inlineStr"/>
      <c r="V263" s="20" t="inlineStr"/>
      <c r="W263" s="20" t="inlineStr">
        <is>
          <t>Não</t>
        </is>
      </c>
    </row>
    <row r="264">
      <c r="A264" s="20" t="inlineStr">
        <is>
          <t>S-42aaf0</t>
        </is>
      </c>
      <c r="B264" s="20" t="inlineStr">
        <is>
          <t>A-6da850</t>
        </is>
      </c>
      <c r="C264" s="20" t="inlineStr">
        <is>
          <t>Rápida (&lt; 30 dias)</t>
        </is>
      </c>
      <c r="D264" s="20" t="inlineStr">
        <is>
          <t>Dez/24</t>
        </is>
      </c>
      <c r="E264" s="20" t="inlineStr">
        <is>
          <t>Sim</t>
        </is>
      </c>
      <c r="F264" s="21" t="n">
        <v>45657</v>
      </c>
      <c r="G264" s="21" t="n">
        <v>45657</v>
      </c>
      <c r="H264" s="20" t="n">
        <v>0</v>
      </c>
      <c r="I264" s="20" t="inlineStr">
        <is>
          <t>Basic</t>
        </is>
      </c>
      <c r="J264" s="20" t="inlineStr">
        <is>
          <t>Anual</t>
        </is>
      </c>
      <c r="K264" s="20" t="n">
        <v>6</v>
      </c>
      <c r="L264" s="20" t="inlineStr">
        <is>
          <t>06–10</t>
        </is>
      </c>
      <c r="M264" s="20" t="inlineStr">
        <is>
          <t>IN</t>
        </is>
      </c>
      <c r="N264" s="20" t="inlineStr">
        <is>
          <t>Troca/ajuste</t>
        </is>
      </c>
      <c r="O264" s="20" t="inlineStr">
        <is>
          <t>Troca/ajuste</t>
        </is>
      </c>
      <c r="P264" s="20" t="inlineStr">
        <is>
          <t>Troca/ajuste</t>
        </is>
      </c>
      <c r="Q264" s="20" t="n">
        <v>13</v>
      </c>
      <c r="R264" s="20" t="inlineStr">
        <is>
          <t>S-5f40a3</t>
        </is>
      </c>
      <c r="S264" s="20" t="inlineStr">
        <is>
          <t>S-5f40a3</t>
        </is>
      </c>
      <c r="T264" s="20" t="inlineStr">
        <is>
          <t>Mesmo plano</t>
        </is>
      </c>
      <c r="U264" s="20" t="inlineStr">
        <is>
          <t>Mudou para mensal</t>
        </is>
      </c>
      <c r="V264" s="20" t="inlineStr">
        <is>
          <t>Menos seats</t>
        </is>
      </c>
      <c r="W264" s="20" t="inlineStr">
        <is>
          <t>Não</t>
        </is>
      </c>
    </row>
    <row r="265">
      <c r="A265" s="20" t="inlineStr">
        <is>
          <t>S-321498</t>
        </is>
      </c>
      <c r="B265" s="20" t="inlineStr">
        <is>
          <t>A-3a7284</t>
        </is>
      </c>
      <c r="C265" s="20" t="inlineStr">
        <is>
          <t>Rápida (&lt; 30 dias)</t>
        </is>
      </c>
      <c r="D265" s="20" t="inlineStr">
        <is>
          <t>Dez/24</t>
        </is>
      </c>
      <c r="E265" s="20" t="inlineStr">
        <is>
          <t>Sim</t>
        </is>
      </c>
      <c r="F265" s="21" t="n">
        <v>45651</v>
      </c>
      <c r="G265" s="21" t="n">
        <v>45657</v>
      </c>
      <c r="H265" s="20" t="n">
        <v>6</v>
      </c>
      <c r="I265" s="20" t="inlineStr">
        <is>
          <t>Pro</t>
        </is>
      </c>
      <c r="J265" s="20" t="inlineStr">
        <is>
          <t>Mensal</t>
        </is>
      </c>
      <c r="K265" s="20" t="n">
        <v>31</v>
      </c>
      <c r="L265" s="20" t="inlineStr">
        <is>
          <t>21–40</t>
        </is>
      </c>
      <c r="M265" s="20" t="inlineStr">
        <is>
          <t>US</t>
        </is>
      </c>
      <c r="N265" s="20" t="inlineStr">
        <is>
          <t>Troca/ajuste</t>
        </is>
      </c>
      <c r="O265" s="20" t="inlineStr">
        <is>
          <t>Troca/ajuste</t>
        </is>
      </c>
      <c r="P265" s="20" t="inlineStr">
        <is>
          <t>Troca/ajuste</t>
        </is>
      </c>
      <c r="Q265" s="20" t="n">
        <v>9</v>
      </c>
      <c r="R265" s="20" t="inlineStr">
        <is>
          <t>S-7be036</t>
        </is>
      </c>
      <c r="S265" s="20" t="inlineStr">
        <is>
          <t>S-7be036</t>
        </is>
      </c>
      <c r="T265" s="20" t="inlineStr">
        <is>
          <t>Mesmo plano</t>
        </is>
      </c>
      <c r="U265" s="20" t="inlineStr">
        <is>
          <t>Mudou para anual</t>
        </is>
      </c>
      <c r="V265" s="20" t="inlineStr">
        <is>
          <t>Mesmos seats</t>
        </is>
      </c>
      <c r="W265" s="20" t="inlineStr">
        <is>
          <t>Sim</t>
        </is>
      </c>
    </row>
    <row r="266">
      <c r="A266" s="20" t="inlineStr">
        <is>
          <t>S-cdc644</t>
        </is>
      </c>
      <c r="B266" s="20" t="inlineStr">
        <is>
          <t>A-76fa4d</t>
        </is>
      </c>
      <c r="C266" s="20" t="inlineStr">
        <is>
          <t>Rápida (&lt; 30 dias)</t>
        </is>
      </c>
      <c r="D266" s="20" t="inlineStr">
        <is>
          <t>Dez/24</t>
        </is>
      </c>
      <c r="E266" s="20" t="inlineStr">
        <is>
          <t>Sim</t>
        </is>
      </c>
      <c r="F266" s="21" t="n">
        <v>45629</v>
      </c>
      <c r="G266" s="21" t="n">
        <v>45657</v>
      </c>
      <c r="H266" s="20" t="n">
        <v>28</v>
      </c>
      <c r="I266" s="20" t="inlineStr">
        <is>
          <t>Enterprise</t>
        </is>
      </c>
      <c r="J266" s="20" t="inlineStr">
        <is>
          <t>Anual</t>
        </is>
      </c>
      <c r="K266" s="20" t="n">
        <v>69</v>
      </c>
      <c r="L266" s="20" t="inlineStr">
        <is>
          <t>41–80</t>
        </is>
      </c>
      <c r="M266" s="20" t="inlineStr">
        <is>
          <t>US</t>
        </is>
      </c>
      <c r="N266" s="20" t="inlineStr">
        <is>
          <t>Troca/ajuste</t>
        </is>
      </c>
      <c r="O266" s="20" t="inlineStr">
        <is>
          <t>Redução</t>
        </is>
      </c>
      <c r="P266" s="20" t="inlineStr">
        <is>
          <t>Troca/ajuste</t>
        </is>
      </c>
      <c r="Q266" s="20" t="n">
        <v>5</v>
      </c>
      <c r="R266" s="20" t="inlineStr">
        <is>
          <t>S-b01b1c</t>
        </is>
      </c>
      <c r="S266" s="20" t="inlineStr">
        <is>
          <t>S-b01b1c</t>
        </is>
      </c>
      <c r="T266" s="20" t="inlineStr">
        <is>
          <t>Plano abaixo</t>
        </is>
      </c>
      <c r="U266" s="20" t="inlineStr">
        <is>
          <t>Mudou para mensal</t>
        </is>
      </c>
      <c r="V266" s="20" t="inlineStr">
        <is>
          <t>Mesmos seats</t>
        </is>
      </c>
      <c r="W266" s="20" t="inlineStr">
        <is>
          <t>Sim</t>
        </is>
      </c>
    </row>
    <row r="267">
      <c r="A267" s="20" t="inlineStr">
        <is>
          <t>S-7452a4</t>
        </is>
      </c>
      <c r="B267" s="20" t="inlineStr">
        <is>
          <t>A-118d55</t>
        </is>
      </c>
      <c r="C267" s="20" t="inlineStr">
        <is>
          <t>Rápida (&lt; 30 dias)</t>
        </is>
      </c>
      <c r="D267" s="20" t="inlineStr">
        <is>
          <t>Dez/24</t>
        </is>
      </c>
      <c r="E267" s="20" t="inlineStr">
        <is>
          <t>Sim</t>
        </is>
      </c>
      <c r="F267" s="21" t="n">
        <v>45656</v>
      </c>
      <c r="G267" s="21" t="n">
        <v>45657</v>
      </c>
      <c r="H267" s="20" t="n">
        <v>1</v>
      </c>
      <c r="I267" s="20" t="inlineStr">
        <is>
          <t>Enterprise</t>
        </is>
      </c>
      <c r="J267" s="20" t="inlineStr">
        <is>
          <t>Mensal</t>
        </is>
      </c>
      <c r="K267" s="20" t="n">
        <v>29</v>
      </c>
      <c r="L267" s="20" t="inlineStr">
        <is>
          <t>21–40</t>
        </is>
      </c>
      <c r="M267" s="20" t="inlineStr">
        <is>
          <t>US</t>
        </is>
      </c>
      <c r="N267" s="20" t="inlineStr">
        <is>
          <t>Troca/ajuste</t>
        </is>
      </c>
      <c r="O267" s="20" t="inlineStr">
        <is>
          <t>Redução</t>
        </is>
      </c>
      <c r="P267" s="20" t="inlineStr">
        <is>
          <t>Troca/ajuste</t>
        </is>
      </c>
      <c r="Q267" s="20" t="n">
        <v>11</v>
      </c>
      <c r="R267" s="20" t="inlineStr">
        <is>
          <t>S-e2a10c, S-d7163c, S-43c80c, S-2ff628, S-2c64e6</t>
        </is>
      </c>
      <c r="S267" s="20" t="inlineStr">
        <is>
          <t>S-d7163c</t>
        </is>
      </c>
      <c r="T267" s="20" t="inlineStr">
        <is>
          <t>Plano abaixo</t>
        </is>
      </c>
      <c r="U267" s="20" t="inlineStr">
        <is>
          <t>Mesma cobrança</t>
        </is>
      </c>
      <c r="V267" s="20" t="inlineStr">
        <is>
          <t>Menos seats</t>
        </is>
      </c>
      <c r="W267" s="20" t="inlineStr">
        <is>
          <t>Sim</t>
        </is>
      </c>
    </row>
  </sheetData>
  <conditionalFormatting sqref="N2:P267">
    <cfRule type="cellIs" priority="1" operator="equal" dxfId="0">
      <formula>"Troca/ajuste"</formula>
    </cfRule>
    <cfRule type="cellIs" priority="2" operator="equal" dxfId="1">
      <formula>"Redução"</formula>
    </cfRule>
    <cfRule type="cellIs" priority="3" operator="equal" dxfId="2">
      <formula>"Saída do cliente"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2026-10-17T16:59:37Z</dcterms:created>
  <dcterms:modified xmlns:dcterms="http://purl.org/dc/terms/" xmlns:xsi="http://www.w3.org/2001/XMLSchema-instance" xsi:type="dcterms:W3CDTF">2026-10-17T16:59:37Z</dcterms:modified>
</cp:coreProperties>
</file>