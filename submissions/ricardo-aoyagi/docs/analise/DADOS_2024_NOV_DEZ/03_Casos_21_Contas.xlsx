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Tracos_comuns" sheetId="2" state="visible" r:id="rId2"/>
    <sheet xmlns:r="http://schemas.openxmlformats.org/officeDocument/2006/relationships" name="Resumo_21" sheetId="3" state="visible" r:id="rId3"/>
    <sheet xmlns:r="http://schemas.openxmlformats.org/officeDocument/2006/relationships" name="Linha_do_tempo" sheetId="4" state="visible" r:id="rId4"/>
    <sheet xmlns:r="http://schemas.openxmlformats.org/officeDocument/2006/relationships" name="Base_Encerradas_NovDez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b val="1"/>
      <sz val="15"/>
    </font>
    <font>
      <name val="Arial"/>
      <i val="1"/>
      <color rgb="0052514E"/>
      <sz val="9"/>
    </font>
    <font>
      <name val="Arial"/>
      <b val="1"/>
      <sz val="12"/>
    </font>
    <font>
      <name val="Arial"/>
      <b val="1"/>
      <sz val="9"/>
    </font>
    <font>
      <name val="Arial"/>
      <i val="1"/>
      <color rgb="0052514E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2410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applyAlignment="1" pivotButton="0" quotePrefix="0" xfId="0">
      <alignment wrapText="1"/>
    </xf>
    <xf numFmtId="0" fontId="5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3" fontId="2" fillId="0" borderId="1" applyAlignment="1" pivotButton="0" quotePrefix="0" xfId="0">
      <alignment vertical="top" wrapText="1"/>
    </xf>
    <xf numFmtId="9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166" fontId="2" fillId="0" borderId="1" applyAlignment="1" pivotButton="0" quotePrefix="0" xfId="0">
      <alignment vertical="top" wrapText="1"/>
    </xf>
    <xf numFmtId="0" fontId="4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165" fontId="2" fillId="0" borderId="0" pivotButton="0" quotePrefix="0" xfId="0"/>
    <xf numFmtId="9" fontId="2" fillId="0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F8D7DA"/>
        </patternFill>
      </fill>
    </dxf>
    <dxf>
      <fill>
        <patternFill patternType="solid">
          <fgColor rgb="00DBEAFE"/>
        </patternFill>
      </fill>
    </dxf>
    <dxf>
      <fill>
        <patternFill patternType="solid">
          <fgColor rgb="00FFF3CD"/>
        </patternFill>
      </fill>
    </dxf>
    <dxf>
      <fill>
        <patternFill patternType="solid">
          <fgColor rgb="00FDE68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Resumo21" displayName="tResumo21" ref="A1:X22" headerRowCount="1">
  <autoFilter ref="A1:X22"/>
  <tableColumns count="24">
    <tableColumn id="1" name="Conta"/>
    <tableColumn id="2" name="Indústria"/>
    <tableColumn id="3" name="País"/>
    <tableColumn id="4" name="Canal"/>
    <tableColumn id="5" name="Plano inicial"/>
    <tableColumn id="6" name="Seats (cadastro)"/>
    <tableColumn id="7" name="churn_flag"/>
    <tableColumn id="8" name="Cadastro"/>
    <tableColumn id="9" name="Dias até 1ª assinatura"/>
    <tableColumn id="10" name="Assinaturas (total)"/>
    <tableColumn id="11" name="Abertas em nov/dez"/>
    <tableColumn id="12" name="Encerradas rápido"/>
    <tableColumn id="13" name="Ativas em 31/12"/>
    <tableColumn id="14" name="Data do evento"/>
    <tableColumn id="15" name="Dias de conta no evento"/>
    <tableColumn id="16" name="Motivo"/>
    <tableColumn id="17" name="Comentário"/>
    <tableColumn id="18" name="Reembolso?"/>
    <tableColumn id="19" name="Nova assinatura até 7 dias do cancelamento?"/>
    <tableColumn id="20" name="Tickets (total)"/>
    <tableColumn id="21" name="Tickets com data ANTES do cadastro"/>
    <tableColumn id="22" name="Tickets entre cadastro e evento"/>
    <tableColumn id="23" name="Registros de uso"/>
    <tableColumn id="24" name="% registros com erro"/>
  </tableColumns>
  <tableStyleInfo name="TableStyleLight1" showRowStripes="1"/>
</table>
</file>

<file path=xl/tables/table2.xml><?xml version="1.0" encoding="utf-8"?>
<table xmlns="http://schemas.openxmlformats.org/spreadsheetml/2006/main" id="2" name="tLinhaTempo" displayName="tLinhaTempo" ref="A1:E377" headerRowCount="1">
  <autoFilter ref="A1:E377"/>
  <tableColumns count="5">
    <tableColumn id="1" name="Conta"/>
    <tableColumn id="2" name="Data"/>
    <tableColumn id="3" name="Tipo"/>
    <tableColumn id="4" name="Detalhe"/>
    <tableColumn id="5" name="Alerta"/>
  </tableColumns>
  <tableStyleInfo name="TableStyleLight1" showRowStripes="1"/>
</table>
</file>

<file path=xl/tables/table3.xml><?xml version="1.0" encoding="utf-8"?>
<table xmlns="http://schemas.openxmlformats.org/spreadsheetml/2006/main" id="3" name="tEncerradas" displayName="tEncerradas" ref="A1:N267" headerRowCount="1">
  <autoFilter ref="A1:N267"/>
  <tableColumns count="14">
    <tableColumn id="1" name="Assinatura"/>
    <tableColumn id="2" name="Conta"/>
    <tableColumn id="3" name="Grupo"/>
    <tableColumn id="4" name="Uma das 21 contas?"/>
    <tableColumn id="5" name="Início"/>
    <tableColumn id="6" name="Fim"/>
    <tableColumn id="7" name="Dias de vida"/>
    <tableColumn id="8" name="Plano"/>
    <tableColumn id="9" name="Cobrança"/>
    <tableColumn id="10" name="Seats"/>
    <tableColumn id="11" name="Outras assinaturas ativas no dia do fim"/>
    <tableColumn id="12" name="Conta ficou sem nenhuma assinatura?"/>
    <tableColumn id="13" name="Nova assinatura até 7 dias (antes/depois)?"/>
    <tableColumn id="14" name="Nova com mesmos seats?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5" customWidth="1" min="2" max="2"/>
  </cols>
  <sheetData>
    <row r="1">
      <c r="B1" s="1" t="inlineStr">
        <is>
          <t>Nov/dez 2024 · Caso a caso: as 21 contas em que as duas fontes concordam que o churn foi rápido</t>
        </is>
      </c>
    </row>
    <row r="2">
      <c r="B2" s="2" t="inlineStr">
        <is>
          <t>Planilha apartada. Lê os CSVs originais sem alterá-los. Só quantidades.</t>
        </is>
      </c>
    </row>
    <row r="3">
      <c r="B3" s="3" t="inlineStr"/>
    </row>
    <row r="4">
      <c r="B4" s="4" t="inlineStr">
        <is>
          <t>QUEM SÃO</t>
        </is>
      </c>
    </row>
    <row r="5">
      <c r="B5" s="3" t="inlineStr">
        <is>
          <t>21 contas que, ao mesmo tempo, tiveram uma assinatura encerrada com menos de 30 dias em nov/dez (fonte assinaturas) e um evento de churn com menos de 30 dias de cadastro (fonte eventos). São os casos mais "limpos" de churn rápido.</t>
        </is>
      </c>
    </row>
    <row r="6">
      <c r="B6" s="3" t="inlineStr"/>
    </row>
    <row r="7">
      <c r="B7" s="4" t="inlineStr">
        <is>
          <t>ABAS</t>
        </is>
      </c>
    </row>
    <row r="8">
      <c r="B8" s="3" t="inlineStr">
        <is>
          <t>• Tracos_comuns: o que as 21 têm em comum, comparado com todas as 159 assinaturas rápidas e com as lentas.</t>
        </is>
      </c>
    </row>
    <row r="9">
      <c r="B9" s="3" t="inlineStr">
        <is>
          <t>• Resumo_21: uma linha por conta.</t>
        </is>
      </c>
    </row>
    <row r="10">
      <c r="B10" s="3" t="inlineStr">
        <is>
          <t>• Linha_do_tempo: tudo o que aconteceu com cada conta em ordem de data (cadastro, assinaturas, cancelamentos, eventos, tickets). Filtre pela coluna Conta para ler um caso.</t>
        </is>
      </c>
    </row>
    <row r="11">
      <c r="B11" s="3" t="inlineStr">
        <is>
          <t>• Base_Encerradas_NovDez: as 266 assinaturas encerradas em nov/dez, com o que havia na conta no dia.</t>
        </is>
      </c>
    </row>
    <row r="12">
      <c r="B12" s="3" t="inlineStr"/>
    </row>
    <row r="13">
      <c r="B13" s="4" t="inlineStr">
        <is>
          <t>O QUE OS CASOS MOSTRAM</t>
        </is>
      </c>
    </row>
    <row r="14">
      <c r="B14" s="3" t="inlineStr">
        <is>
          <t>1. Nenhuma das 21 contas foi embora. Todas seguem com várias assinaturas ativas em 31/12 (cerca de 8 por conta). Nas 159 assinaturas rápidas de nov/dez, em só 1 caso a conta ficou sem nenhuma assinatura.</t>
        </is>
      </c>
    </row>
    <row r="15">
      <c r="B15" s="3" t="inlineStr">
        <is>
          <t>2. São contas novas que compram em rajada: abrem várias assinaturas em poucos dias (às vezes no mesmo dia, com o mesmo número de seats) e cancelam uma delas logo em seguida.</t>
        </is>
      </c>
    </row>
    <row r="16">
      <c r="B16" s="3" t="inlineStr">
        <is>
          <t>3. Perto do cancelamento rápido costuma haver uma assinatura nova da mesma conta (≈ 2 em 3 casos, contra ≈ 41% numa data qualquer). Parece troca ou ajuste de plano logo após a compra, e não abandono.</t>
        </is>
      </c>
    </row>
    <row r="17">
      <c r="B17" s="3" t="inlineStr">
        <is>
          <t>4. Não há reclamação antes: quase todos os tickets dessas contas têm data ANTERIOR à existência da conta (impossível), e quase nenhum cai entre o cadastro e o evento.</t>
        </is>
      </c>
    </row>
    <row r="18">
      <c r="B18" s="3" t="inlineStr">
        <is>
          <t>5. O evento de churn traz motivos variados e comentários que não batem com o motivo; churn_flag quase nunca está ligado.</t>
        </is>
      </c>
    </row>
    <row r="19">
      <c r="B19" s="3" t="inlineStr"/>
    </row>
    <row r="20">
      <c r="B20" s="4" t="inlineStr">
        <is>
          <t>IMPLICAÇÃO</t>
        </is>
      </c>
    </row>
    <row r="21">
      <c r="B21" s="3" t="inlineStr">
        <is>
          <t>O "cancelamento rápido" de nov/dez, que puxou o churn para cima, é em grande parte cancelamento de ASSINATURA dentro de contas que continuam ativas, com cara de ajuste no momento da contratação. Antes de tratar como perda de cliente, vale separar: (a) troca/ajuste de plano, (b) redução real de contrato e (c) saída do cliente. Com a regra atual, as três coisas são contadas como churn.</t>
        </is>
      </c>
    </row>
    <row r="22">
      <c r="B22" s="3" t="inlineStr"/>
    </row>
    <row r="23">
      <c r="B23" s="4" t="inlineStr">
        <is>
          <t>LIMITES</t>
        </is>
      </c>
    </row>
    <row r="24">
      <c r="B24" s="3" t="inlineStr">
        <is>
          <t>• Base fictícia; 21 contas é pouco para generalizar, por isso comparamos com as 159 rápidas. "Até 7 dias" é uma janela escolhida para a análise.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"/>
  <sheetViews>
    <sheetView showGridLines="0" workbookViewId="0">
      <selection activeCell="A1" sqref="A1"/>
    </sheetView>
  </sheetViews>
  <sheetFormatPr baseColWidth="8" defaultRowHeight="15"/>
  <cols>
    <col width="62" customWidth="1" min="1" max="1"/>
    <col width="14" customWidth="1" min="2" max="2"/>
    <col width="14" customWidth="1" min="3" max="3"/>
    <col width="10" customWidth="1" min="4" max="4"/>
    <col width="70" customWidth="1" min="5" max="5"/>
  </cols>
  <sheetData>
    <row r="1">
      <c r="A1" s="5" t="inlineStr">
        <is>
          <t>O que as 21 contas têm em comum (e o que isso diz sobre os cancelamentos rápidos)</t>
        </is>
      </c>
    </row>
    <row r="2" ht="28" customHeight="1">
      <c r="A2" s="6" t="inlineStr">
        <is>
          <t>Contas em que as duas fontes concordam: assinatura encerrada com menos de 30 dias em nov/dez E evento de churn de conta com menos de 30 dias de cadastro. Contagens por fórmula sobre Resumo_21 e Base_Encerradas_NovDez.</t>
        </is>
      </c>
    </row>
    <row r="4">
      <c r="A4" s="7" t="inlineStr">
        <is>
          <t>1. A conta foi embora?</t>
        </is>
      </c>
    </row>
    <row r="5" ht="36" customHeight="1">
      <c r="A5" s="8" t="inlineStr">
        <is>
          <t>Pergunta</t>
        </is>
      </c>
      <c r="B5" s="9" t="inlineStr">
        <is>
          <t>Resultado</t>
        </is>
      </c>
      <c r="C5" s="8" t="inlineStr">
        <is>
          <t>De</t>
        </is>
      </c>
      <c r="D5" s="9" t="inlineStr">
        <is>
          <t>%</t>
        </is>
      </c>
      <c r="E5" s="8" t="inlineStr">
        <is>
          <t>Leitura</t>
        </is>
      </c>
    </row>
    <row r="6">
      <c r="A6" s="10" t="inlineStr">
        <is>
          <t>Das 21 contas, quantas continuam com assinatura ativa em 31/12?</t>
        </is>
      </c>
      <c r="B6" s="11">
        <f>COUNTIF(Resumo_21!$M$2:$M$22,"&gt;0")</f>
        <v/>
      </c>
      <c r="C6" s="11">
        <f>COUNTA(Resumo_21!$A$2:$A$22)</f>
        <v/>
      </c>
      <c r="D6" s="12">
        <f>B6/C6</f>
        <v/>
      </c>
      <c r="E6" s="13" t="inlineStr">
        <is>
          <t>Todas seguem clientes. O "churn" foi de uma assinatura, não da conta.</t>
        </is>
      </c>
    </row>
    <row r="7">
      <c r="A7" s="10" t="inlineStr">
        <is>
          <t>Ativas em 31/12 por conta (média)</t>
        </is>
      </c>
      <c r="B7" s="14">
        <f>AVERAGE(Resumo_21!$M$2:$M$22)</f>
        <v/>
      </c>
      <c r="C7" s="13" t="inlineStr"/>
      <c r="D7" s="12" t="inlineStr"/>
      <c r="E7" s="13" t="inlineStr"/>
    </row>
    <row r="8">
      <c r="A8" s="10" t="inlineStr">
        <is>
          <t>Assinaturas abertas em nov/dez por conta (média)</t>
        </is>
      </c>
      <c r="B8" s="14">
        <f>AVERAGE(Resumo_21!$K$2:$K$22)</f>
        <v/>
      </c>
      <c r="C8" s="13" t="inlineStr"/>
      <c r="D8" s="12" t="inlineStr"/>
      <c r="E8" s="13" t="inlineStr">
        <is>
          <t>São contas novas que abriram várias assinaturas em poucos dias.</t>
        </is>
      </c>
    </row>
    <row r="9">
      <c r="A9" s="10" t="inlineStr">
        <is>
          <t>Dias entre o cadastro e a 1ª assinatura (média)</t>
        </is>
      </c>
      <c r="B9" s="14">
        <f>AVERAGE(Resumo_21!$I$2:$I$22)</f>
        <v/>
      </c>
      <c r="C9" s="13" t="inlineStr"/>
      <c r="D9" s="12" t="inlineStr"/>
      <c r="E9" s="13" t="inlineStr"/>
    </row>
    <row r="10">
      <c r="A10" s="10" t="inlineStr">
        <is>
          <t>Das 159 assinaturas rápidas de nov/dez, em quantas a conta ficou SEM nenhuma assinatura?</t>
        </is>
      </c>
      <c r="B10" s="11">
        <f>COUNTIFS(Base_Encerradas_NovDez!$C$2:$C$267,"Rápida",Base_Encerradas_NovDez!$L$2:$L$267,"Sim")</f>
        <v/>
      </c>
      <c r="C10" s="11">
        <f>COUNTIFS(Base_Encerradas_NovDez!$C$2:$C$267,"Rápida")</f>
        <v/>
      </c>
      <c r="D10" s="12">
        <f>B10/C10</f>
        <v/>
      </c>
      <c r="E10" s="13" t="inlineStr">
        <is>
          <t>Praticamente nenhuma: o cancelamento rápido quase nunca é a saída do cliente.</t>
        </is>
      </c>
    </row>
    <row r="11">
      <c r="A11" s="10" t="inlineStr">
        <is>
          <t>Outras assinaturas ativas no dia do cancelamento rápido (média, 159 rápidas)</t>
        </is>
      </c>
      <c r="B11" s="14">
        <f>AVERAGEIFS(Base_Encerradas_NovDez!$K$2:$K$267,Base_Encerradas_NovDez!$C$2:$C$267,"Rápida")</f>
        <v/>
      </c>
      <c r="C11" s="13" t="inlineStr"/>
      <c r="D11" s="12" t="inlineStr"/>
      <c r="E11" s="13" t="inlineStr"/>
    </row>
    <row r="13">
      <c r="A13" s="7" t="inlineStr">
        <is>
          <t>2. O cancelamento rápido parece troca/ajuste de assinatura?</t>
        </is>
      </c>
    </row>
    <row r="14" ht="36" customHeight="1">
      <c r="A14" s="8" t="inlineStr">
        <is>
          <t>Grupo</t>
        </is>
      </c>
      <c r="B14" s="8" t="inlineStr">
        <is>
          <t>Assinaturas</t>
        </is>
      </c>
      <c r="C14" s="9" t="inlineStr">
        <is>
          <t>Com nova assinatura da mesma conta até 7 dias antes/depois</t>
        </is>
      </c>
      <c r="D14" s="9" t="inlineStr">
        <is>
          <t>%</t>
        </is>
      </c>
      <c r="E14" s="8" t="inlineStr">
        <is>
          <t>Leitura</t>
        </is>
      </c>
    </row>
    <row r="15">
      <c r="A15" s="10" t="inlineStr">
        <is>
          <t>As 21 contas (assinaturas rápidas)</t>
        </is>
      </c>
      <c r="B15" s="11">
        <f>COUNTIFS(Base_Encerradas_NovDez!$C$2:$C$267,"Rápida",Base_Encerradas_NovDez!$D$2:$D$267,"Sim")</f>
        <v/>
      </c>
      <c r="C15" s="11">
        <f>COUNTIFS(Base_Encerradas_NovDez!$C$2:$C$267,"Rápida",Base_Encerradas_NovDez!$D$2:$D$267,"Sim",Base_Encerradas_NovDez!$M$2:$M$267,"Sim")</f>
        <v/>
      </c>
      <c r="D15" s="12">
        <f>C15/B15</f>
        <v/>
      </c>
      <c r="E15" s="13" t="inlineStr"/>
    </row>
    <row r="16">
      <c r="A16" s="10" t="inlineStr">
        <is>
          <t>Todas as rápidas de nov/dez (159)</t>
        </is>
      </c>
      <c r="B16" s="11">
        <f>COUNTIFS(Base_Encerradas_NovDez!$C$2:$C$267,"Rápida")</f>
        <v/>
      </c>
      <c r="C16" s="11">
        <f>COUNTIFS(Base_Encerradas_NovDez!$C$2:$C$267,"Rápida",Base_Encerradas_NovDez!$M$2:$M$267,"Sim")</f>
        <v/>
      </c>
      <c r="D16" s="12">
        <f>C16/B16</f>
        <v/>
      </c>
      <c r="E16" s="13" t="inlineStr"/>
    </row>
    <row r="17">
      <c r="A17" s="10" t="inlineStr">
        <is>
          <t>Lentas de nov/dez (107)</t>
        </is>
      </c>
      <c r="B17" s="11">
        <f>COUNTIFS(Base_Encerradas_NovDez!$C$2:$C$267,"Lenta")</f>
        <v/>
      </c>
      <c r="C17" s="11">
        <f>COUNTIFS(Base_Encerradas_NovDez!$C$2:$C$267,"Lenta",Base_Encerradas_NovDez!$M$2:$M$267,"Sim")</f>
        <v/>
      </c>
      <c r="D17" s="12">
        <f>C17/B17</f>
        <v/>
      </c>
      <c r="E17" s="13" t="inlineStr"/>
    </row>
    <row r="18">
      <c r="A18" s="10" t="inlineStr">
        <is>
          <t>Referência: uma conta qualquer, numa data qualquer de nov/dez</t>
        </is>
      </c>
      <c r="B18" s="13" t="inlineStr"/>
      <c r="C18" s="13" t="inlineStr"/>
      <c r="D18" s="12" t="n">
        <v>0.412</v>
      </c>
      <c r="E18" s="13" t="inlineStr">
        <is>
          <t>Sorteio de 3.000 pares conta × data (calculado no script). Mostra o quanto é comum abrir assinatura nova em qualquer janela de 15 dias.</t>
        </is>
      </c>
    </row>
    <row r="19">
      <c r="A19" s="15" t="inlineStr">
        <is>
          <t>Leitura: quem cancela rápido abre outra assinatura perto da data com mais frequência do que o normal (≈ 2 em 3, contra ≈ 2 em 5). Combina com troca de plano/configuração logo após a compra, e não com abandono.</t>
        </is>
      </c>
    </row>
    <row r="21">
      <c r="A21" s="7" t="inlineStr">
        <is>
          <t>3. Houve reclamação antes?</t>
        </is>
      </c>
    </row>
    <row r="22" ht="36" customHeight="1">
      <c r="A22" s="8" t="inlineStr">
        <is>
          <t>Pergunta</t>
        </is>
      </c>
      <c r="B22" s="9" t="inlineStr">
        <is>
          <t>Resultado</t>
        </is>
      </c>
      <c r="C22" s="8" t="inlineStr">
        <is>
          <t>De</t>
        </is>
      </c>
      <c r="D22" s="9" t="inlineStr">
        <is>
          <t>%</t>
        </is>
      </c>
      <c r="E22" s="8" t="inlineStr">
        <is>
          <t>Leitura</t>
        </is>
      </c>
    </row>
    <row r="23">
      <c r="A23" s="10" t="inlineStr">
        <is>
          <t>Tickets das 21 contas (total)</t>
        </is>
      </c>
      <c r="B23" s="11">
        <f>SUM(Resumo_21!$T$2:$T$22)</f>
        <v/>
      </c>
      <c r="C23" s="13" t="inlineStr"/>
      <c r="D23" s="12" t="inlineStr"/>
      <c r="E23" s="13" t="inlineStr"/>
    </row>
    <row r="24">
      <c r="A24" s="10" t="inlineStr">
        <is>
          <t>… com data ANTES de a conta existir</t>
        </is>
      </c>
      <c r="B24" s="11">
        <f>SUM(Resumo_21!$U$2:$U$22)</f>
        <v/>
      </c>
      <c r="C24" s="11">
        <f>SUM(Resumo_21!$T$2:$T$22)</f>
        <v/>
      </c>
      <c r="D24" s="12">
        <f>B24/C24</f>
        <v/>
      </c>
      <c r="E24" s="13" t="inlineStr">
        <is>
          <t>Impossível na vida real: a ligação ticket → conta não é confiável para essas contas.</t>
        </is>
      </c>
    </row>
    <row r="25">
      <c r="A25" s="10" t="inlineStr">
        <is>
          <t>… entre o cadastro e o evento de churn</t>
        </is>
      </c>
      <c r="B25" s="11">
        <f>SUM(Resumo_21!$V$2:$V$22)</f>
        <v/>
      </c>
      <c r="C25" s="11">
        <f>SUM(Resumo_21!$T$2:$T$22)</f>
        <v/>
      </c>
      <c r="D25" s="12">
        <f>B25/C25</f>
        <v/>
      </c>
      <c r="E25" s="13" t="inlineStr">
        <is>
          <t>Quase nenhuma reclamação no período em que a conta existia.</t>
        </is>
      </c>
    </row>
    <row r="26">
      <c r="A26" s="10" t="inlineStr">
        <is>
          <t>Contas com ao menos 1 ticket entre cadastro e evento</t>
        </is>
      </c>
      <c r="B26" s="11">
        <f>COUNTIF(Resumo_21!$V$2:$V$22,"&gt;0")</f>
        <v/>
      </c>
      <c r="C26" s="11">
        <f>COUNTA(Resumo_21!$A$2:$A$22)</f>
        <v/>
      </c>
      <c r="D26" s="12">
        <f>B26/C26</f>
        <v/>
      </c>
      <c r="E26" s="13" t="inlineStr"/>
    </row>
    <row r="28">
      <c r="A28" s="7" t="inlineStr">
        <is>
          <t>4. O que o cliente declarou no evento</t>
        </is>
      </c>
    </row>
    <row r="29" ht="36" customHeight="1">
      <c r="A29" s="8" t="inlineStr">
        <is>
          <t>Motivo / comentário</t>
        </is>
      </c>
      <c r="B29" s="9" t="inlineStr">
        <is>
          <t>Contas</t>
        </is>
      </c>
      <c r="C29" s="8" t="inlineStr"/>
      <c r="D29" s="8" t="inlineStr"/>
      <c r="E29" s="8" t="inlineStr"/>
    </row>
    <row r="30">
      <c r="A30" s="10" t="inlineStr">
        <is>
          <t>Motivo: budget</t>
        </is>
      </c>
      <c r="B30" s="11">
        <f>COUNTIF(Resumo_21!$P$2:$P$22,"budget")</f>
        <v/>
      </c>
    </row>
    <row r="31">
      <c r="A31" s="10" t="inlineStr">
        <is>
          <t>Motivo: competitor</t>
        </is>
      </c>
      <c r="B31" s="11">
        <f>COUNTIF(Resumo_21!$P$2:$P$22,"competitor")</f>
        <v/>
      </c>
    </row>
    <row r="32">
      <c r="A32" s="10" t="inlineStr">
        <is>
          <t>Motivo: features</t>
        </is>
      </c>
      <c r="B32" s="11">
        <f>COUNTIF(Resumo_21!$P$2:$P$22,"features")</f>
        <v/>
      </c>
    </row>
    <row r="33">
      <c r="A33" s="10" t="inlineStr">
        <is>
          <t>Motivo: pricing</t>
        </is>
      </c>
      <c r="B33" s="11">
        <f>COUNTIF(Resumo_21!$P$2:$P$22,"pricing")</f>
        <v/>
      </c>
    </row>
    <row r="34">
      <c r="A34" s="10" t="inlineStr">
        <is>
          <t>Motivo: support</t>
        </is>
      </c>
      <c r="B34" s="11">
        <f>COUNTIF(Resumo_21!$P$2:$P$22,"support")</f>
        <v/>
      </c>
    </row>
    <row r="35">
      <c r="A35" s="10" t="inlineStr">
        <is>
          <t>Motivo: unknown</t>
        </is>
      </c>
      <c r="B35" s="11">
        <f>COUNTIF(Resumo_21!$P$2:$P$22,"unknown")</f>
        <v/>
      </c>
    </row>
    <row r="36">
      <c r="A36" s="10" t="inlineStr">
        <is>
          <t>Comentário: (sem comentário)</t>
        </is>
      </c>
      <c r="B36" s="11">
        <f>COUNTIF(Resumo_21!$Q$2:$Q$22,"(sem comentário)")</f>
        <v/>
      </c>
    </row>
    <row r="37">
      <c r="A37" s="10" t="inlineStr">
        <is>
          <t>Comentário: missing features</t>
        </is>
      </c>
      <c r="B37" s="11">
        <f>COUNTIF(Resumo_21!$Q$2:$Q$22,"missing features")</f>
        <v/>
      </c>
    </row>
    <row r="38">
      <c r="A38" s="10" t="inlineStr">
        <is>
          <t>Comentário: switched to competitor</t>
        </is>
      </c>
      <c r="B38" s="11">
        <f>COUNTIF(Resumo_21!$Q$2:$Q$22,"switched to competitor")</f>
        <v/>
      </c>
    </row>
    <row r="39">
      <c r="A39" s="10" t="inlineStr">
        <is>
          <t>Comentário: too expensive</t>
        </is>
      </c>
      <c r="B39" s="11">
        <f>COUNTIF(Resumo_21!$Q$2:$Q$22,"too expensive")</f>
        <v/>
      </c>
    </row>
    <row r="40">
      <c r="A40" s="10" t="inlineStr">
        <is>
          <t>Com reembolso</t>
        </is>
      </c>
      <c r="B40" s="11">
        <f>COUNTIF(Resumo_21!$R$2:$R$22,"Sim")</f>
        <v/>
      </c>
    </row>
    <row r="41">
      <c r="A41" s="15" t="inlineStr">
        <is>
          <t>Motivos espalhados, sem um dominante; e o motivo segue sem conversar com o comentário (ver Linha_do_tempo).</t>
        </is>
      </c>
    </row>
    <row r="43">
      <c r="A43" s="7" t="inlineStr">
        <is>
          <t>5. Perfil das 21 contas</t>
        </is>
      </c>
    </row>
    <row r="44" ht="36" customHeight="1">
      <c r="A44" s="8" t="inlineStr">
        <is>
          <t>Característica</t>
        </is>
      </c>
      <c r="B44" s="8" t="inlineStr">
        <is>
          <t>Valor mais comum</t>
        </is>
      </c>
      <c r="C44" s="9" t="inlineStr">
        <is>
          <t>Contas</t>
        </is>
      </c>
      <c r="D44" s="8" t="inlineStr"/>
      <c r="E44" s="8" t="inlineStr"/>
    </row>
    <row r="45">
      <c r="A45" s="10" t="inlineStr">
        <is>
          <t>Indústria</t>
        </is>
      </c>
      <c r="B45" s="13" t="inlineStr">
        <is>
          <t>EdTech</t>
        </is>
      </c>
      <c r="C45" s="11">
        <f>COUNTIF(Resumo_21!$B$2:$B$22,B45)</f>
        <v/>
      </c>
    </row>
    <row r="46">
      <c r="A46" s="10" t="inlineStr">
        <is>
          <t>País</t>
        </is>
      </c>
      <c r="B46" s="13" t="inlineStr">
        <is>
          <t>US</t>
        </is>
      </c>
      <c r="C46" s="11">
        <f>COUNTIF(Resumo_21!$C$2:$C$22,B46)</f>
        <v/>
      </c>
    </row>
    <row r="47">
      <c r="A47" s="10" t="inlineStr">
        <is>
          <t>Canal</t>
        </is>
      </c>
      <c r="B47" s="13" t="inlineStr">
        <is>
          <t>organic</t>
        </is>
      </c>
      <c r="C47" s="11">
        <f>COUNTIF(Resumo_21!$D$2:$D$22,B47)</f>
        <v/>
      </c>
    </row>
    <row r="48">
      <c r="A48" s="10" t="inlineStr">
        <is>
          <t>Plano inicial</t>
        </is>
      </c>
      <c r="B48" s="13" t="inlineStr">
        <is>
          <t>Pro</t>
        </is>
      </c>
      <c r="C48" s="11">
        <f>COUNTIF(Resumo_21!$E$2:$E$22,B48)</f>
        <v/>
      </c>
    </row>
    <row r="49">
      <c r="A49" s="10" t="inlineStr">
        <is>
          <t>churn_flag = True</t>
        </is>
      </c>
      <c r="B49" s="13" t="inlineStr">
        <is>
          <t>True</t>
        </is>
      </c>
      <c r="C49" s="11">
        <f>COUNTIF(Resumo_21!$G$2:$G$22,"Sim")</f>
        <v/>
      </c>
    </row>
    <row r="50">
      <c r="A50" s="15" t="inlineStr">
        <is>
          <t>Perfil espalhado (exceto país: maioria US, que também é a maioria da base). A marcação churn_flag da conta quase nunca está ligada, mesmo nesses casos "limpos".</t>
        </is>
      </c>
    </row>
  </sheetData>
  <mergeCells count="1">
    <mergeCell ref="A2:E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6" customWidth="1" min="3" max="3"/>
    <col width="9" customWidth="1" min="4" max="4"/>
    <col width="10" customWidth="1" min="5" max="5"/>
    <col width="8" customWidth="1" min="6" max="6"/>
    <col width="8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10" customWidth="1" min="14" max="14"/>
    <col width="9" customWidth="1" min="15" max="15"/>
    <col width="10" customWidth="1" min="16" max="16"/>
    <col width="18" customWidth="1" min="17" max="17"/>
    <col width="9" customWidth="1" min="18" max="18"/>
    <col width="12" customWidth="1" min="19" max="19"/>
    <col width="8" customWidth="1" min="20" max="20"/>
    <col width="10" customWidth="1" min="21" max="21"/>
    <col width="10" customWidth="1" min="22" max="22"/>
    <col width="9" customWidth="1" min="23" max="23"/>
    <col width="9" customWidth="1" min="24" max="24"/>
  </cols>
  <sheetData>
    <row r="1" ht="44" customHeight="1">
      <c r="A1" s="16" t="inlineStr">
        <is>
          <t>Conta</t>
        </is>
      </c>
      <c r="B1" s="16" t="inlineStr">
        <is>
          <t>Indústria</t>
        </is>
      </c>
      <c r="C1" s="16" t="inlineStr">
        <is>
          <t>País</t>
        </is>
      </c>
      <c r="D1" s="16" t="inlineStr">
        <is>
          <t>Canal</t>
        </is>
      </c>
      <c r="E1" s="16" t="inlineStr">
        <is>
          <t>Plano inicial</t>
        </is>
      </c>
      <c r="F1" s="16" t="inlineStr">
        <is>
          <t>Seats (cadastro)</t>
        </is>
      </c>
      <c r="G1" s="16" t="inlineStr">
        <is>
          <t>churn_flag</t>
        </is>
      </c>
      <c r="H1" s="16" t="inlineStr">
        <is>
          <t>Cadastro</t>
        </is>
      </c>
      <c r="I1" s="16" t="inlineStr">
        <is>
          <t>Dias até 1ª assinatura</t>
        </is>
      </c>
      <c r="J1" s="16" t="inlineStr">
        <is>
          <t>Assinaturas (total)</t>
        </is>
      </c>
      <c r="K1" s="16" t="inlineStr">
        <is>
          <t>Abertas em nov/dez</t>
        </is>
      </c>
      <c r="L1" s="16" t="inlineStr">
        <is>
          <t>Encerradas rápido</t>
        </is>
      </c>
      <c r="M1" s="16" t="inlineStr">
        <is>
          <t>Ativas em 31/12</t>
        </is>
      </c>
      <c r="N1" s="16" t="inlineStr">
        <is>
          <t>Data do evento</t>
        </is>
      </c>
      <c r="O1" s="16" t="inlineStr">
        <is>
          <t>Dias de conta no evento</t>
        </is>
      </c>
      <c r="P1" s="16" t="inlineStr">
        <is>
          <t>Motivo</t>
        </is>
      </c>
      <c r="Q1" s="16" t="inlineStr">
        <is>
          <t>Comentário</t>
        </is>
      </c>
      <c r="R1" s="16" t="inlineStr">
        <is>
          <t>Reembolso?</t>
        </is>
      </c>
      <c r="S1" s="16" t="inlineStr">
        <is>
          <t>Nova assinatura até 7 dias do cancelamento?</t>
        </is>
      </c>
      <c r="T1" s="16" t="inlineStr">
        <is>
          <t>Tickets (total)</t>
        </is>
      </c>
      <c r="U1" s="16" t="inlineStr">
        <is>
          <t>Tickets com data ANTES do cadastro</t>
        </is>
      </c>
      <c r="V1" s="16" t="inlineStr">
        <is>
          <t>Tickets entre cadastro e evento</t>
        </is>
      </c>
      <c r="W1" s="16" t="inlineStr">
        <is>
          <t>Registros de uso</t>
        </is>
      </c>
      <c r="X1" s="16" t="inlineStr">
        <is>
          <t>% registros com erro</t>
        </is>
      </c>
    </row>
    <row r="2">
      <c r="A2" s="17" t="inlineStr">
        <is>
          <t>A-0354fe</t>
        </is>
      </c>
      <c r="B2" s="17" t="inlineStr">
        <is>
          <t>Cybersecurity</t>
        </is>
      </c>
      <c r="C2" s="17" t="inlineStr">
        <is>
          <t>US</t>
        </is>
      </c>
      <c r="D2" s="17" t="inlineStr">
        <is>
          <t>other</t>
        </is>
      </c>
      <c r="E2" s="17" t="inlineStr">
        <is>
          <t>Basic</t>
        </is>
      </c>
      <c r="F2" s="17" t="n">
        <v>34</v>
      </c>
      <c r="G2" s="17" t="inlineStr">
        <is>
          <t>Não</t>
        </is>
      </c>
      <c r="H2" s="18" t="n">
        <v>45587</v>
      </c>
      <c r="I2" s="17" t="n">
        <v>12</v>
      </c>
      <c r="J2" s="17" t="n">
        <v>7</v>
      </c>
      <c r="K2" s="17" t="n">
        <v>7</v>
      </c>
      <c r="L2" s="17" t="n">
        <v>1</v>
      </c>
      <c r="M2" s="17" t="n">
        <v>6</v>
      </c>
      <c r="N2" s="18" t="n">
        <v>45611</v>
      </c>
      <c r="O2" s="17" t="n">
        <v>24</v>
      </c>
      <c r="P2" s="17" t="inlineStr">
        <is>
          <t>unknown</t>
        </is>
      </c>
      <c r="Q2" s="17" t="inlineStr">
        <is>
          <t>switched to competitor</t>
        </is>
      </c>
      <c r="R2" s="17" t="inlineStr">
        <is>
          <t>Não</t>
        </is>
      </c>
      <c r="S2" s="17" t="inlineStr">
        <is>
          <t>Sim</t>
        </is>
      </c>
      <c r="T2" s="17" t="n">
        <v>4</v>
      </c>
      <c r="U2" s="17" t="n">
        <v>2</v>
      </c>
      <c r="V2" s="17" t="n">
        <v>1</v>
      </c>
      <c r="W2" s="17" t="n">
        <v>45</v>
      </c>
      <c r="X2" s="19" t="n">
        <v>0.311</v>
      </c>
    </row>
    <row r="3">
      <c r="A3" s="17" t="inlineStr">
        <is>
          <t>A-0b0d6d</t>
        </is>
      </c>
      <c r="B3" s="17" t="inlineStr">
        <is>
          <t>DevTools</t>
        </is>
      </c>
      <c r="C3" s="17" t="inlineStr">
        <is>
          <t>US</t>
        </is>
      </c>
      <c r="D3" s="17" t="inlineStr">
        <is>
          <t>organic</t>
        </is>
      </c>
      <c r="E3" s="17" t="inlineStr">
        <is>
          <t>Pro</t>
        </is>
      </c>
      <c r="F3" s="17" t="n">
        <v>3</v>
      </c>
      <c r="G3" s="17" t="inlineStr">
        <is>
          <t>Não</t>
        </is>
      </c>
      <c r="H3" s="18" t="n">
        <v>45656</v>
      </c>
      <c r="I3" s="17" t="n">
        <v>0</v>
      </c>
      <c r="J3" s="17" t="n">
        <v>13</v>
      </c>
      <c r="K3" s="17" t="n">
        <v>13</v>
      </c>
      <c r="L3" s="17" t="n">
        <v>2</v>
      </c>
      <c r="M3" s="17" t="n">
        <v>11</v>
      </c>
      <c r="N3" s="18" t="n">
        <v>45657</v>
      </c>
      <c r="O3" s="17" t="n">
        <v>1</v>
      </c>
      <c r="P3" s="17" t="inlineStr">
        <is>
          <t>competitor</t>
        </is>
      </c>
      <c r="Q3" s="17" t="inlineStr">
        <is>
          <t>(sem comentário)</t>
        </is>
      </c>
      <c r="R3" s="17" t="inlineStr">
        <is>
          <t>Não</t>
        </is>
      </c>
      <c r="S3" s="17" t="inlineStr">
        <is>
          <t>Sim</t>
        </is>
      </c>
      <c r="T3" s="17" t="n">
        <v>5</v>
      </c>
      <c r="U3" s="17" t="n">
        <v>5</v>
      </c>
      <c r="V3" s="17" t="n">
        <v>0</v>
      </c>
      <c r="W3" s="17" t="n">
        <v>62</v>
      </c>
      <c r="X3" s="19" t="n">
        <v>0.419</v>
      </c>
    </row>
    <row r="4">
      <c r="A4" s="17" t="inlineStr">
        <is>
          <t>A-18793f</t>
        </is>
      </c>
      <c r="B4" s="17" t="inlineStr">
        <is>
          <t>EdTech</t>
        </is>
      </c>
      <c r="C4" s="17" t="inlineStr">
        <is>
          <t>US</t>
        </is>
      </c>
      <c r="D4" s="17" t="inlineStr">
        <is>
          <t>organic</t>
        </is>
      </c>
      <c r="E4" s="17" t="inlineStr">
        <is>
          <t>Basic</t>
        </is>
      </c>
      <c r="F4" s="17" t="n">
        <v>148</v>
      </c>
      <c r="G4" s="17" t="inlineStr">
        <is>
          <t>Não</t>
        </is>
      </c>
      <c r="H4" s="18" t="n">
        <v>45644</v>
      </c>
      <c r="I4" s="17" t="n">
        <v>1</v>
      </c>
      <c r="J4" s="17" t="n">
        <v>11</v>
      </c>
      <c r="K4" s="17" t="n">
        <v>11</v>
      </c>
      <c r="L4" s="17" t="n">
        <v>1</v>
      </c>
      <c r="M4" s="17" t="n">
        <v>10</v>
      </c>
      <c r="N4" s="18" t="n">
        <v>45656</v>
      </c>
      <c r="O4" s="17" t="n">
        <v>12</v>
      </c>
      <c r="P4" s="17" t="inlineStr">
        <is>
          <t>support</t>
        </is>
      </c>
      <c r="Q4" s="17" t="inlineStr">
        <is>
          <t>(sem comentário)</t>
        </is>
      </c>
      <c r="R4" s="17" t="inlineStr">
        <is>
          <t>Sim</t>
        </is>
      </c>
      <c r="S4" s="17" t="inlineStr">
        <is>
          <t>Sim</t>
        </is>
      </c>
      <c r="T4" s="17" t="n">
        <v>5</v>
      </c>
      <c r="U4" s="17" t="n">
        <v>5</v>
      </c>
      <c r="V4" s="17" t="n">
        <v>0</v>
      </c>
      <c r="W4" s="17" t="n">
        <v>48</v>
      </c>
      <c r="X4" s="19" t="n">
        <v>0.229</v>
      </c>
    </row>
    <row r="5">
      <c r="A5" s="17" t="inlineStr">
        <is>
          <t>A-309e54</t>
        </is>
      </c>
      <c r="B5" s="17" t="inlineStr">
        <is>
          <t>DevTools</t>
        </is>
      </c>
      <c r="C5" s="17" t="inlineStr">
        <is>
          <t>US</t>
        </is>
      </c>
      <c r="D5" s="17" t="inlineStr">
        <is>
          <t>other</t>
        </is>
      </c>
      <c r="E5" s="17" t="inlineStr">
        <is>
          <t>Pro</t>
        </is>
      </c>
      <c r="F5" s="17" t="n">
        <v>15</v>
      </c>
      <c r="G5" s="17" t="inlineStr">
        <is>
          <t>Não</t>
        </is>
      </c>
      <c r="H5" s="18" t="n">
        <v>45635</v>
      </c>
      <c r="I5" s="17" t="n">
        <v>4</v>
      </c>
      <c r="J5" s="17" t="n">
        <v>11</v>
      </c>
      <c r="K5" s="17" t="n">
        <v>11</v>
      </c>
      <c r="L5" s="17" t="n">
        <v>1</v>
      </c>
      <c r="M5" s="17" t="n">
        <v>10</v>
      </c>
      <c r="N5" s="18" t="n">
        <v>45640</v>
      </c>
      <c r="O5" s="17" t="n">
        <v>5</v>
      </c>
      <c r="P5" s="17" t="inlineStr">
        <is>
          <t>support</t>
        </is>
      </c>
      <c r="Q5" s="17" t="inlineStr">
        <is>
          <t>missing features</t>
        </is>
      </c>
      <c r="R5" s="17" t="inlineStr">
        <is>
          <t>Sim</t>
        </is>
      </c>
      <c r="S5" s="17" t="inlineStr">
        <is>
          <t>Sim</t>
        </is>
      </c>
      <c r="T5" s="17" t="n">
        <v>5</v>
      </c>
      <c r="U5" s="17" t="n">
        <v>5</v>
      </c>
      <c r="V5" s="17" t="n">
        <v>0</v>
      </c>
      <c r="W5" s="17" t="n">
        <v>52</v>
      </c>
      <c r="X5" s="19" t="n">
        <v>0.308</v>
      </c>
    </row>
    <row r="6">
      <c r="A6" s="17" t="inlineStr">
        <is>
          <t>A-39ddf4</t>
        </is>
      </c>
      <c r="B6" s="17" t="inlineStr">
        <is>
          <t>EdTech</t>
        </is>
      </c>
      <c r="C6" s="17" t="inlineStr">
        <is>
          <t>US</t>
        </is>
      </c>
      <c r="D6" s="17" t="inlineStr">
        <is>
          <t>partner</t>
        </is>
      </c>
      <c r="E6" s="17" t="inlineStr">
        <is>
          <t>Enterprise</t>
        </is>
      </c>
      <c r="F6" s="17" t="n">
        <v>40</v>
      </c>
      <c r="G6" s="17" t="inlineStr">
        <is>
          <t>Não</t>
        </is>
      </c>
      <c r="H6" s="18" t="n">
        <v>45631</v>
      </c>
      <c r="I6" s="17" t="n">
        <v>2</v>
      </c>
      <c r="J6" s="17" t="n">
        <v>9</v>
      </c>
      <c r="K6" s="17" t="n">
        <v>9</v>
      </c>
      <c r="L6" s="17" t="n">
        <v>1</v>
      </c>
      <c r="M6" s="17" t="n">
        <v>8</v>
      </c>
      <c r="N6" s="18" t="n">
        <v>45639</v>
      </c>
      <c r="O6" s="17" t="n">
        <v>8</v>
      </c>
      <c r="P6" s="17" t="inlineStr">
        <is>
          <t>support</t>
        </is>
      </c>
      <c r="Q6" s="17" t="inlineStr">
        <is>
          <t>(sem comentário)</t>
        </is>
      </c>
      <c r="R6" s="17" t="inlineStr">
        <is>
          <t>Não</t>
        </is>
      </c>
      <c r="S6" s="17" t="inlineStr">
        <is>
          <t>Sim</t>
        </is>
      </c>
      <c r="T6" s="17" t="n">
        <v>5</v>
      </c>
      <c r="U6" s="17" t="n">
        <v>5</v>
      </c>
      <c r="V6" s="17" t="n">
        <v>0</v>
      </c>
      <c r="W6" s="17" t="n">
        <v>46</v>
      </c>
      <c r="X6" s="19" t="n">
        <v>0.326</v>
      </c>
    </row>
    <row r="7">
      <c r="A7" s="17" t="inlineStr">
        <is>
          <t>A-4bfa33</t>
        </is>
      </c>
      <c r="B7" s="17" t="inlineStr">
        <is>
          <t>Cybersecurity</t>
        </is>
      </c>
      <c r="C7" s="17" t="inlineStr">
        <is>
          <t>US</t>
        </is>
      </c>
      <c r="D7" s="17" t="inlineStr">
        <is>
          <t>event</t>
        </is>
      </c>
      <c r="E7" s="17" t="inlineStr">
        <is>
          <t>Basic</t>
        </is>
      </c>
      <c r="F7" s="17" t="n">
        <v>8</v>
      </c>
      <c r="G7" s="17" t="inlineStr">
        <is>
          <t>Não</t>
        </is>
      </c>
      <c r="H7" s="18" t="n">
        <v>45633</v>
      </c>
      <c r="I7" s="17" t="n">
        <v>3</v>
      </c>
      <c r="J7" s="17" t="n">
        <v>7</v>
      </c>
      <c r="K7" s="17" t="n">
        <v>7</v>
      </c>
      <c r="L7" s="17" t="n">
        <v>1</v>
      </c>
      <c r="M7" s="17" t="n">
        <v>6</v>
      </c>
      <c r="N7" s="18" t="n">
        <v>45634</v>
      </c>
      <c r="O7" s="17" t="n">
        <v>1</v>
      </c>
      <c r="P7" s="17" t="inlineStr">
        <is>
          <t>unknown</t>
        </is>
      </c>
      <c r="Q7" s="17" t="inlineStr">
        <is>
          <t>missing features</t>
        </is>
      </c>
      <c r="R7" s="17" t="inlineStr">
        <is>
          <t>Não</t>
        </is>
      </c>
      <c r="S7" s="17" t="inlineStr">
        <is>
          <t>Sim</t>
        </is>
      </c>
      <c r="T7" s="17" t="n">
        <v>4</v>
      </c>
      <c r="U7" s="17" t="n">
        <v>4</v>
      </c>
      <c r="V7" s="17" t="n">
        <v>0</v>
      </c>
      <c r="W7" s="17" t="n">
        <v>36</v>
      </c>
      <c r="X7" s="19" t="n">
        <v>0.278</v>
      </c>
    </row>
    <row r="8">
      <c r="A8" s="17" t="inlineStr">
        <is>
          <t>A-533452</t>
        </is>
      </c>
      <c r="B8" s="17" t="inlineStr">
        <is>
          <t>DevTools</t>
        </is>
      </c>
      <c r="C8" s="17" t="inlineStr">
        <is>
          <t>AU</t>
        </is>
      </c>
      <c r="D8" s="17" t="inlineStr">
        <is>
          <t>organic</t>
        </is>
      </c>
      <c r="E8" s="17" t="inlineStr">
        <is>
          <t>Pro</t>
        </is>
      </c>
      <c r="F8" s="17" t="n">
        <v>9</v>
      </c>
      <c r="G8" s="17" t="inlineStr">
        <is>
          <t>Não</t>
        </is>
      </c>
      <c r="H8" s="18" t="n">
        <v>45608</v>
      </c>
      <c r="I8" s="17" t="n">
        <v>9</v>
      </c>
      <c r="J8" s="17" t="n">
        <v>11</v>
      </c>
      <c r="K8" s="17" t="n">
        <v>11</v>
      </c>
      <c r="L8" s="17" t="n">
        <v>1</v>
      </c>
      <c r="M8" s="17" t="n">
        <v>10</v>
      </c>
      <c r="N8" s="18" t="n">
        <v>45613</v>
      </c>
      <c r="O8" s="17" t="n">
        <v>5</v>
      </c>
      <c r="P8" s="17" t="inlineStr">
        <is>
          <t>features</t>
        </is>
      </c>
      <c r="Q8" s="17" t="inlineStr">
        <is>
          <t>missing features</t>
        </is>
      </c>
      <c r="R8" s="17" t="inlineStr">
        <is>
          <t>Não</t>
        </is>
      </c>
      <c r="S8" s="17" t="inlineStr">
        <is>
          <t>Sim</t>
        </is>
      </c>
      <c r="T8" s="17" t="n">
        <v>4</v>
      </c>
      <c r="U8" s="17" t="n">
        <v>4</v>
      </c>
      <c r="V8" s="17" t="n">
        <v>0</v>
      </c>
      <c r="W8" s="17" t="n">
        <v>63</v>
      </c>
      <c r="X8" s="19" t="n">
        <v>0.317</v>
      </c>
    </row>
    <row r="9">
      <c r="A9" s="17" t="inlineStr">
        <is>
          <t>A-5790f4</t>
        </is>
      </c>
      <c r="B9" s="17" t="inlineStr">
        <is>
          <t>FinTech</t>
        </is>
      </c>
      <c r="C9" s="17" t="inlineStr">
        <is>
          <t>UK</t>
        </is>
      </c>
      <c r="D9" s="17" t="inlineStr">
        <is>
          <t>event</t>
        </is>
      </c>
      <c r="E9" s="17" t="inlineStr">
        <is>
          <t>Pro</t>
        </is>
      </c>
      <c r="F9" s="17" t="n">
        <v>1</v>
      </c>
      <c r="G9" s="17" t="inlineStr">
        <is>
          <t>Não</t>
        </is>
      </c>
      <c r="H9" s="18" t="n">
        <v>45648</v>
      </c>
      <c r="I9" s="17" t="n">
        <v>0</v>
      </c>
      <c r="J9" s="17" t="n">
        <v>6</v>
      </c>
      <c r="K9" s="17" t="n">
        <v>6</v>
      </c>
      <c r="L9" s="17" t="n">
        <v>1</v>
      </c>
      <c r="M9" s="17" t="n">
        <v>5</v>
      </c>
      <c r="N9" s="18" t="n">
        <v>45651</v>
      </c>
      <c r="O9" s="17" t="n">
        <v>3</v>
      </c>
      <c r="P9" s="17" t="inlineStr">
        <is>
          <t>features</t>
        </is>
      </c>
      <c r="Q9" s="17" t="inlineStr">
        <is>
          <t>switched to competitor</t>
        </is>
      </c>
      <c r="R9" s="17" t="inlineStr">
        <is>
          <t>Sim</t>
        </is>
      </c>
      <c r="S9" s="17" t="inlineStr">
        <is>
          <t>Sim</t>
        </is>
      </c>
      <c r="T9" s="17" t="n">
        <v>4</v>
      </c>
      <c r="U9" s="17" t="n">
        <v>4</v>
      </c>
      <c r="V9" s="17" t="n">
        <v>0</v>
      </c>
      <c r="W9" s="17" t="n">
        <v>35</v>
      </c>
      <c r="X9" s="19" t="n">
        <v>0.457</v>
      </c>
    </row>
    <row r="10">
      <c r="A10" s="17" t="inlineStr">
        <is>
          <t>A-5c9849</t>
        </is>
      </c>
      <c r="B10" s="17" t="inlineStr">
        <is>
          <t>EdTech</t>
        </is>
      </c>
      <c r="C10" s="17" t="inlineStr">
        <is>
          <t>IN</t>
        </is>
      </c>
      <c r="D10" s="17" t="inlineStr">
        <is>
          <t>partner</t>
        </is>
      </c>
      <c r="E10" s="17" t="inlineStr">
        <is>
          <t>Basic</t>
        </is>
      </c>
      <c r="F10" s="17" t="n">
        <v>19</v>
      </c>
      <c r="G10" s="17" t="inlineStr">
        <is>
          <t>Não</t>
        </is>
      </c>
      <c r="H10" s="18" t="n">
        <v>45599</v>
      </c>
      <c r="I10" s="17" t="n">
        <v>7</v>
      </c>
      <c r="J10" s="17" t="n">
        <v>9</v>
      </c>
      <c r="K10" s="17" t="n">
        <v>9</v>
      </c>
      <c r="L10" s="17" t="n">
        <v>1</v>
      </c>
      <c r="M10" s="17" t="n">
        <v>8</v>
      </c>
      <c r="N10" s="18" t="n">
        <v>45609</v>
      </c>
      <c r="O10" s="17" t="n">
        <v>10</v>
      </c>
      <c r="P10" s="17" t="inlineStr">
        <is>
          <t>unknown</t>
        </is>
      </c>
      <c r="Q10" s="17" t="inlineStr">
        <is>
          <t>too expensive</t>
        </is>
      </c>
      <c r="R10" s="17" t="inlineStr">
        <is>
          <t>Não</t>
        </is>
      </c>
      <c r="S10" s="17" t="inlineStr">
        <is>
          <t>Sim</t>
        </is>
      </c>
      <c r="T10" s="17" t="n">
        <v>4</v>
      </c>
      <c r="U10" s="17" t="n">
        <v>4</v>
      </c>
      <c r="V10" s="17" t="n">
        <v>0</v>
      </c>
      <c r="W10" s="17" t="n">
        <v>46</v>
      </c>
      <c r="X10" s="19" t="n">
        <v>0.326</v>
      </c>
    </row>
    <row r="11">
      <c r="A11" s="17" t="inlineStr">
        <is>
          <t>A-6a7c9d</t>
        </is>
      </c>
      <c r="B11" s="17" t="inlineStr">
        <is>
          <t>Cybersecurity</t>
        </is>
      </c>
      <c r="C11" s="17" t="inlineStr">
        <is>
          <t>US</t>
        </is>
      </c>
      <c r="D11" s="17" t="inlineStr">
        <is>
          <t>organic</t>
        </is>
      </c>
      <c r="E11" s="17" t="inlineStr">
        <is>
          <t>Enterprise</t>
        </is>
      </c>
      <c r="F11" s="17" t="n">
        <v>26</v>
      </c>
      <c r="G11" s="17" t="inlineStr">
        <is>
          <t>Sim</t>
        </is>
      </c>
      <c r="H11" s="18" t="n">
        <v>45589</v>
      </c>
      <c r="I11" s="17" t="n">
        <v>19</v>
      </c>
      <c r="J11" s="17" t="n">
        <v>5</v>
      </c>
      <c r="K11" s="17" t="n">
        <v>5</v>
      </c>
      <c r="L11" s="17" t="n">
        <v>1</v>
      </c>
      <c r="M11" s="17" t="n">
        <v>4</v>
      </c>
      <c r="N11" s="18" t="n">
        <v>45611</v>
      </c>
      <c r="O11" s="17" t="n">
        <v>22</v>
      </c>
      <c r="P11" s="17" t="inlineStr">
        <is>
          <t>features</t>
        </is>
      </c>
      <c r="Q11" s="17" t="inlineStr">
        <is>
          <t>missing features</t>
        </is>
      </c>
      <c r="R11" s="17" t="inlineStr">
        <is>
          <t>Sim</t>
        </is>
      </c>
      <c r="S11" s="17" t="inlineStr">
        <is>
          <t>Sim</t>
        </is>
      </c>
      <c r="T11" s="17" t="n">
        <v>3</v>
      </c>
      <c r="U11" s="17" t="n">
        <v>3</v>
      </c>
      <c r="V11" s="17" t="n">
        <v>0</v>
      </c>
      <c r="W11" s="17" t="n">
        <v>19</v>
      </c>
      <c r="X11" s="19" t="n">
        <v>0.211</v>
      </c>
    </row>
    <row r="12">
      <c r="A12" s="17" t="inlineStr">
        <is>
          <t>A-712426</t>
        </is>
      </c>
      <c r="B12" s="17" t="inlineStr">
        <is>
          <t>HealthTech</t>
        </is>
      </c>
      <c r="C12" s="17" t="inlineStr">
        <is>
          <t>US</t>
        </is>
      </c>
      <c r="D12" s="17" t="inlineStr">
        <is>
          <t>other</t>
        </is>
      </c>
      <c r="E12" s="17" t="inlineStr">
        <is>
          <t>Enterprise</t>
        </is>
      </c>
      <c r="F12" s="17" t="n">
        <v>9</v>
      </c>
      <c r="G12" s="17" t="inlineStr">
        <is>
          <t>Não</t>
        </is>
      </c>
      <c r="H12" s="18" t="n">
        <v>45606</v>
      </c>
      <c r="I12" s="17" t="n">
        <v>0</v>
      </c>
      <c r="J12" s="17" t="n">
        <v>15</v>
      </c>
      <c r="K12" s="17" t="n">
        <v>15</v>
      </c>
      <c r="L12" s="17" t="n">
        <v>2</v>
      </c>
      <c r="M12" s="17" t="n">
        <v>13</v>
      </c>
      <c r="N12" s="18" t="n">
        <v>45617</v>
      </c>
      <c r="O12" s="17" t="n">
        <v>11</v>
      </c>
      <c r="P12" s="17" t="inlineStr">
        <is>
          <t>pricing</t>
        </is>
      </c>
      <c r="Q12" s="17" t="inlineStr">
        <is>
          <t>missing features</t>
        </is>
      </c>
      <c r="R12" s="17" t="inlineStr">
        <is>
          <t>Não</t>
        </is>
      </c>
      <c r="S12" s="17" t="inlineStr">
        <is>
          <t>Sim</t>
        </is>
      </c>
      <c r="T12" s="17" t="n">
        <v>6</v>
      </c>
      <c r="U12" s="17" t="n">
        <v>5</v>
      </c>
      <c r="V12" s="17" t="n">
        <v>0</v>
      </c>
      <c r="W12" s="17" t="n">
        <v>70</v>
      </c>
      <c r="X12" s="19" t="n">
        <v>0.243</v>
      </c>
    </row>
    <row r="13">
      <c r="A13" s="17" t="inlineStr">
        <is>
          <t>A-76fa4d</t>
        </is>
      </c>
      <c r="B13" s="17" t="inlineStr">
        <is>
          <t>HealthTech</t>
        </is>
      </c>
      <c r="C13" s="17" t="inlineStr">
        <is>
          <t>US</t>
        </is>
      </c>
      <c r="D13" s="17" t="inlineStr">
        <is>
          <t>event</t>
        </is>
      </c>
      <c r="E13" s="17" t="inlineStr">
        <is>
          <t>Pro</t>
        </is>
      </c>
      <c r="F13" s="17" t="n">
        <v>69</v>
      </c>
      <c r="G13" s="17" t="inlineStr">
        <is>
          <t>Não</t>
        </is>
      </c>
      <c r="H13" s="18" t="n">
        <v>45620</v>
      </c>
      <c r="I13" s="17" t="n">
        <v>2</v>
      </c>
      <c r="J13" s="17" t="n">
        <v>7</v>
      </c>
      <c r="K13" s="17" t="n">
        <v>7</v>
      </c>
      <c r="L13" s="17" t="n">
        <v>2</v>
      </c>
      <c r="M13" s="17" t="n">
        <v>5</v>
      </c>
      <c r="N13" s="18" t="n">
        <v>45622</v>
      </c>
      <c r="O13" s="17" t="n">
        <v>2</v>
      </c>
      <c r="P13" s="17" t="inlineStr">
        <is>
          <t>unknown</t>
        </is>
      </c>
      <c r="Q13" s="17" t="inlineStr">
        <is>
          <t>too expensive</t>
        </is>
      </c>
      <c r="R13" s="17" t="inlineStr">
        <is>
          <t>Sim</t>
        </is>
      </c>
      <c r="S13" s="17" t="inlineStr">
        <is>
          <t>Sim</t>
        </is>
      </c>
      <c r="T13" s="17" t="n">
        <v>5</v>
      </c>
      <c r="U13" s="17" t="n">
        <v>4</v>
      </c>
      <c r="V13" s="17" t="n">
        <v>0</v>
      </c>
      <c r="W13" s="17" t="n">
        <v>36</v>
      </c>
      <c r="X13" s="19" t="n">
        <v>0.333</v>
      </c>
    </row>
    <row r="14">
      <c r="A14" s="17" t="inlineStr">
        <is>
          <t>A-7c6b6b</t>
        </is>
      </c>
      <c r="B14" s="17" t="inlineStr">
        <is>
          <t>FinTech</t>
        </is>
      </c>
      <c r="C14" s="17" t="inlineStr">
        <is>
          <t>US</t>
        </is>
      </c>
      <c r="D14" s="17" t="inlineStr">
        <is>
          <t>other</t>
        </is>
      </c>
      <c r="E14" s="17" t="inlineStr">
        <is>
          <t>Basic</t>
        </is>
      </c>
      <c r="F14" s="17" t="n">
        <v>6</v>
      </c>
      <c r="G14" s="17" t="inlineStr">
        <is>
          <t>Não</t>
        </is>
      </c>
      <c r="H14" s="18" t="n">
        <v>45626</v>
      </c>
      <c r="I14" s="17" t="n">
        <v>6</v>
      </c>
      <c r="J14" s="17" t="n">
        <v>7</v>
      </c>
      <c r="K14" s="17" t="n">
        <v>7</v>
      </c>
      <c r="L14" s="17" t="n">
        <v>2</v>
      </c>
      <c r="M14" s="17" t="n">
        <v>5</v>
      </c>
      <c r="N14" s="18" t="n">
        <v>45635</v>
      </c>
      <c r="O14" s="17" t="n">
        <v>9</v>
      </c>
      <c r="P14" s="17" t="inlineStr">
        <is>
          <t>budget</t>
        </is>
      </c>
      <c r="Q14" s="17" t="inlineStr">
        <is>
          <t>too expensive</t>
        </is>
      </c>
      <c r="R14" s="17" t="inlineStr">
        <is>
          <t>Não</t>
        </is>
      </c>
      <c r="S14" s="17" t="inlineStr">
        <is>
          <t>Sim</t>
        </is>
      </c>
      <c r="T14" s="17" t="n">
        <v>5</v>
      </c>
      <c r="U14" s="17" t="n">
        <v>5</v>
      </c>
      <c r="V14" s="17" t="n">
        <v>0</v>
      </c>
      <c r="W14" s="17" t="n">
        <v>35</v>
      </c>
      <c r="X14" s="19" t="n">
        <v>0.457</v>
      </c>
    </row>
    <row r="15">
      <c r="A15" s="17" t="inlineStr">
        <is>
          <t>A-854864</t>
        </is>
      </c>
      <c r="B15" s="17" t="inlineStr">
        <is>
          <t>FinTech</t>
        </is>
      </c>
      <c r="C15" s="17" t="inlineStr">
        <is>
          <t>IN</t>
        </is>
      </c>
      <c r="D15" s="17" t="inlineStr">
        <is>
          <t>event</t>
        </is>
      </c>
      <c r="E15" s="17" t="inlineStr">
        <is>
          <t>Enterprise</t>
        </is>
      </c>
      <c r="F15" s="17" t="n">
        <v>20</v>
      </c>
      <c r="G15" s="17" t="inlineStr">
        <is>
          <t>Não</t>
        </is>
      </c>
      <c r="H15" s="18" t="n">
        <v>45633</v>
      </c>
      <c r="I15" s="17" t="n">
        <v>2</v>
      </c>
      <c r="J15" s="17" t="n">
        <v>6</v>
      </c>
      <c r="K15" s="17" t="n">
        <v>6</v>
      </c>
      <c r="L15" s="17" t="n">
        <v>1</v>
      </c>
      <c r="M15" s="17" t="n">
        <v>5</v>
      </c>
      <c r="N15" s="18" t="n">
        <v>45650</v>
      </c>
      <c r="O15" s="17" t="n">
        <v>17</v>
      </c>
      <c r="P15" s="17" t="inlineStr">
        <is>
          <t>support</t>
        </is>
      </c>
      <c r="Q15" s="17" t="inlineStr">
        <is>
          <t>switched to competitor</t>
        </is>
      </c>
      <c r="R15" s="17" t="inlineStr">
        <is>
          <t>Sim</t>
        </is>
      </c>
      <c r="S15" s="17" t="inlineStr">
        <is>
          <t>Sim</t>
        </is>
      </c>
      <c r="T15" s="17" t="n">
        <v>5</v>
      </c>
      <c r="U15" s="17" t="n">
        <v>5</v>
      </c>
      <c r="V15" s="17" t="n">
        <v>0</v>
      </c>
      <c r="W15" s="17" t="n">
        <v>24</v>
      </c>
      <c r="X15" s="19" t="n">
        <v>0.25</v>
      </c>
    </row>
    <row r="16">
      <c r="A16" s="17" t="inlineStr">
        <is>
          <t>A-8bde0c</t>
        </is>
      </c>
      <c r="B16" s="17" t="inlineStr">
        <is>
          <t>DevTools</t>
        </is>
      </c>
      <c r="C16" s="17" t="inlineStr">
        <is>
          <t>US</t>
        </is>
      </c>
      <c r="D16" s="17" t="inlineStr">
        <is>
          <t>organic</t>
        </is>
      </c>
      <c r="E16" s="17" t="inlineStr">
        <is>
          <t>Basic</t>
        </is>
      </c>
      <c r="F16" s="17" t="n">
        <v>12</v>
      </c>
      <c r="G16" s="17" t="inlineStr">
        <is>
          <t>Não</t>
        </is>
      </c>
      <c r="H16" s="18" t="n">
        <v>45600</v>
      </c>
      <c r="I16" s="17" t="n">
        <v>0</v>
      </c>
      <c r="J16" s="17" t="n">
        <v>18</v>
      </c>
      <c r="K16" s="17" t="n">
        <v>18</v>
      </c>
      <c r="L16" s="17" t="n">
        <v>2</v>
      </c>
      <c r="M16" s="17" t="n">
        <v>16</v>
      </c>
      <c r="N16" s="18" t="n">
        <v>45624</v>
      </c>
      <c r="O16" s="17" t="n">
        <v>24</v>
      </c>
      <c r="P16" s="17" t="inlineStr">
        <is>
          <t>features</t>
        </is>
      </c>
      <c r="Q16" s="17" t="inlineStr">
        <is>
          <t>missing features</t>
        </is>
      </c>
      <c r="R16" s="17" t="inlineStr">
        <is>
          <t>Não</t>
        </is>
      </c>
      <c r="S16" s="17" t="inlineStr">
        <is>
          <t>Sim</t>
        </is>
      </c>
      <c r="T16" s="17" t="n">
        <v>3</v>
      </c>
      <c r="U16" s="17" t="n">
        <v>2</v>
      </c>
      <c r="V16" s="17" t="n">
        <v>1</v>
      </c>
      <c r="W16" s="17" t="n">
        <v>80</v>
      </c>
      <c r="X16" s="19" t="n">
        <v>0.275</v>
      </c>
    </row>
    <row r="17">
      <c r="A17" s="17" t="inlineStr">
        <is>
          <t>A-956988</t>
        </is>
      </c>
      <c r="B17" s="17" t="inlineStr">
        <is>
          <t>EdTech</t>
        </is>
      </c>
      <c r="C17" s="17" t="inlineStr">
        <is>
          <t>UK</t>
        </is>
      </c>
      <c r="D17" s="17" t="inlineStr">
        <is>
          <t>ads</t>
        </is>
      </c>
      <c r="E17" s="17" t="inlineStr">
        <is>
          <t>Enterprise</t>
        </is>
      </c>
      <c r="F17" s="17" t="n">
        <v>1</v>
      </c>
      <c r="G17" s="17" t="inlineStr">
        <is>
          <t>Não</t>
        </is>
      </c>
      <c r="H17" s="18" t="n">
        <v>45626</v>
      </c>
      <c r="I17" s="17" t="n">
        <v>1</v>
      </c>
      <c r="J17" s="17" t="n">
        <v>13</v>
      </c>
      <c r="K17" s="17" t="n">
        <v>13</v>
      </c>
      <c r="L17" s="17" t="n">
        <v>1</v>
      </c>
      <c r="M17" s="17" t="n">
        <v>12</v>
      </c>
      <c r="N17" s="18" t="n">
        <v>45634</v>
      </c>
      <c r="O17" s="17" t="n">
        <v>8</v>
      </c>
      <c r="P17" s="17" t="inlineStr">
        <is>
          <t>budget</t>
        </is>
      </c>
      <c r="Q17" s="17" t="inlineStr">
        <is>
          <t>missing features</t>
        </is>
      </c>
      <c r="R17" s="17" t="inlineStr">
        <is>
          <t>Não</t>
        </is>
      </c>
      <c r="S17" s="17" t="inlineStr">
        <is>
          <t>Sim</t>
        </is>
      </c>
      <c r="T17" s="17" t="n">
        <v>2</v>
      </c>
      <c r="U17" s="17" t="n">
        <v>2</v>
      </c>
      <c r="V17" s="17" t="n">
        <v>0</v>
      </c>
      <c r="W17" s="17" t="n">
        <v>70</v>
      </c>
      <c r="X17" s="19" t="n">
        <v>0.329</v>
      </c>
    </row>
    <row r="18">
      <c r="A18" s="17" t="inlineStr">
        <is>
          <t>A-bb1486</t>
        </is>
      </c>
      <c r="B18" s="17" t="inlineStr">
        <is>
          <t>HealthTech</t>
        </is>
      </c>
      <c r="C18" s="17" t="inlineStr">
        <is>
          <t>US</t>
        </is>
      </c>
      <c r="D18" s="17" t="inlineStr">
        <is>
          <t>organic</t>
        </is>
      </c>
      <c r="E18" s="17" t="inlineStr">
        <is>
          <t>Basic</t>
        </is>
      </c>
      <c r="F18" s="17" t="n">
        <v>41</v>
      </c>
      <c r="G18" s="17" t="inlineStr">
        <is>
          <t>Não</t>
        </is>
      </c>
      <c r="H18" s="18" t="n">
        <v>45601</v>
      </c>
      <c r="I18" s="17" t="n">
        <v>8</v>
      </c>
      <c r="J18" s="17" t="n">
        <v>8</v>
      </c>
      <c r="K18" s="17" t="n">
        <v>8</v>
      </c>
      <c r="L18" s="17" t="n">
        <v>1</v>
      </c>
      <c r="M18" s="17" t="n">
        <v>7</v>
      </c>
      <c r="N18" s="18" t="n">
        <v>45617</v>
      </c>
      <c r="O18" s="17" t="n">
        <v>16</v>
      </c>
      <c r="P18" s="17" t="inlineStr">
        <is>
          <t>budget</t>
        </is>
      </c>
      <c r="Q18" s="17" t="inlineStr">
        <is>
          <t>switched to competitor</t>
        </is>
      </c>
      <c r="R18" s="17" t="inlineStr">
        <is>
          <t>Não</t>
        </is>
      </c>
      <c r="S18" s="17" t="inlineStr">
        <is>
          <t>Sim</t>
        </is>
      </c>
      <c r="T18" s="17" t="n">
        <v>3</v>
      </c>
      <c r="U18" s="17" t="n">
        <v>3</v>
      </c>
      <c r="V18" s="17" t="n">
        <v>0</v>
      </c>
      <c r="W18" s="17" t="n">
        <v>42</v>
      </c>
      <c r="X18" s="19" t="n">
        <v>0.333</v>
      </c>
    </row>
    <row r="19">
      <c r="A19" s="17" t="inlineStr">
        <is>
          <t>A-bf7919</t>
        </is>
      </c>
      <c r="B19" s="17" t="inlineStr">
        <is>
          <t>HealthTech</t>
        </is>
      </c>
      <c r="C19" s="17" t="inlineStr">
        <is>
          <t>US</t>
        </is>
      </c>
      <c r="D19" s="17" t="inlineStr">
        <is>
          <t>organic</t>
        </is>
      </c>
      <c r="E19" s="17" t="inlineStr">
        <is>
          <t>Pro</t>
        </is>
      </c>
      <c r="F19" s="17" t="n">
        <v>3</v>
      </c>
      <c r="G19" s="17" t="inlineStr">
        <is>
          <t>Não</t>
        </is>
      </c>
      <c r="H19" s="18" t="n">
        <v>45623</v>
      </c>
      <c r="I19" s="17" t="n">
        <v>10</v>
      </c>
      <c r="J19" s="17" t="n">
        <v>6</v>
      </c>
      <c r="K19" s="17" t="n">
        <v>6</v>
      </c>
      <c r="L19" s="17" t="n">
        <v>1</v>
      </c>
      <c r="M19" s="17" t="n">
        <v>5</v>
      </c>
      <c r="N19" s="18" t="n">
        <v>45632</v>
      </c>
      <c r="O19" s="17" t="n">
        <v>9</v>
      </c>
      <c r="P19" s="17" t="inlineStr">
        <is>
          <t>support</t>
        </is>
      </c>
      <c r="Q19" s="17" t="inlineStr">
        <is>
          <t>(sem comentário)</t>
        </is>
      </c>
      <c r="R19" s="17" t="inlineStr">
        <is>
          <t>Não</t>
        </is>
      </c>
      <c r="S19" s="17" t="inlineStr">
        <is>
          <t>Sim</t>
        </is>
      </c>
      <c r="T19" s="17" t="n">
        <v>2</v>
      </c>
      <c r="U19" s="17" t="n">
        <v>2</v>
      </c>
      <c r="V19" s="17" t="n">
        <v>0</v>
      </c>
      <c r="W19" s="17" t="n">
        <v>26</v>
      </c>
      <c r="X19" s="19" t="n">
        <v>0.269</v>
      </c>
    </row>
    <row r="20">
      <c r="A20" s="17" t="inlineStr">
        <is>
          <t>A-c16cf7</t>
        </is>
      </c>
      <c r="B20" s="17" t="inlineStr">
        <is>
          <t>EdTech</t>
        </is>
      </c>
      <c r="C20" s="17" t="inlineStr">
        <is>
          <t>US</t>
        </is>
      </c>
      <c r="D20" s="17" t="inlineStr">
        <is>
          <t>event</t>
        </is>
      </c>
      <c r="E20" s="17" t="inlineStr">
        <is>
          <t>Pro</t>
        </is>
      </c>
      <c r="F20" s="17" t="n">
        <v>13</v>
      </c>
      <c r="G20" s="17" t="inlineStr">
        <is>
          <t>Não</t>
        </is>
      </c>
      <c r="H20" s="18" t="n">
        <v>45581</v>
      </c>
      <c r="I20" s="17" t="n">
        <v>2</v>
      </c>
      <c r="J20" s="17" t="n">
        <v>10</v>
      </c>
      <c r="K20" s="17" t="n">
        <v>6</v>
      </c>
      <c r="L20" s="17" t="n">
        <v>1</v>
      </c>
      <c r="M20" s="17" t="n">
        <v>9</v>
      </c>
      <c r="N20" s="18" t="n">
        <v>45604</v>
      </c>
      <c r="O20" s="17" t="n">
        <v>23</v>
      </c>
      <c r="P20" s="17" t="inlineStr">
        <is>
          <t>budget</t>
        </is>
      </c>
      <c r="Q20" s="17" t="inlineStr">
        <is>
          <t>(sem comentário)</t>
        </is>
      </c>
      <c r="R20" s="17" t="inlineStr">
        <is>
          <t>Não</t>
        </is>
      </c>
      <c r="S20" s="17" t="inlineStr">
        <is>
          <t>Sim</t>
        </is>
      </c>
      <c r="T20" s="17" t="n">
        <v>3</v>
      </c>
      <c r="U20" s="17" t="n">
        <v>2</v>
      </c>
      <c r="V20" s="17" t="n">
        <v>1</v>
      </c>
      <c r="W20" s="17" t="n">
        <v>58</v>
      </c>
      <c r="X20" s="19" t="n">
        <v>0.276</v>
      </c>
    </row>
    <row r="21">
      <c r="A21" s="17" t="inlineStr">
        <is>
          <t>A-c43359</t>
        </is>
      </c>
      <c r="B21" s="17" t="inlineStr">
        <is>
          <t>FinTech</t>
        </is>
      </c>
      <c r="C21" s="17" t="inlineStr">
        <is>
          <t>US</t>
        </is>
      </c>
      <c r="D21" s="17" t="inlineStr">
        <is>
          <t>organic</t>
        </is>
      </c>
      <c r="E21" s="17" t="inlineStr">
        <is>
          <t>Pro</t>
        </is>
      </c>
      <c r="F21" s="17" t="n">
        <v>38</v>
      </c>
      <c r="G21" s="17" t="inlineStr">
        <is>
          <t>Não</t>
        </is>
      </c>
      <c r="H21" s="18" t="n">
        <v>45612</v>
      </c>
      <c r="I21" s="17" t="n">
        <v>2</v>
      </c>
      <c r="J21" s="17" t="n">
        <v>8</v>
      </c>
      <c r="K21" s="17" t="n">
        <v>8</v>
      </c>
      <c r="L21" s="17" t="n">
        <v>1</v>
      </c>
      <c r="M21" s="17" t="n">
        <v>6</v>
      </c>
      <c r="N21" s="18" t="n">
        <v>45638</v>
      </c>
      <c r="O21" s="17" t="n">
        <v>26</v>
      </c>
      <c r="P21" s="17" t="inlineStr">
        <is>
          <t>unknown</t>
        </is>
      </c>
      <c r="Q21" s="17" t="inlineStr">
        <is>
          <t>too expensive</t>
        </is>
      </c>
      <c r="R21" s="17" t="inlineStr">
        <is>
          <t>Não</t>
        </is>
      </c>
      <c r="S21" s="17" t="inlineStr">
        <is>
          <t>Sim</t>
        </is>
      </c>
      <c r="T21" s="17" t="n">
        <v>3</v>
      </c>
      <c r="U21" s="17" t="n">
        <v>3</v>
      </c>
      <c r="V21" s="17" t="n">
        <v>0</v>
      </c>
      <c r="W21" s="17" t="n">
        <v>47</v>
      </c>
      <c r="X21" s="19" t="n">
        <v>0.404</v>
      </c>
    </row>
    <row r="22">
      <c r="A22" s="17" t="inlineStr">
        <is>
          <t>A-fd7ad3</t>
        </is>
      </c>
      <c r="B22" s="17" t="inlineStr">
        <is>
          <t>Cybersecurity</t>
        </is>
      </c>
      <c r="C22" s="17" t="inlineStr">
        <is>
          <t>US</t>
        </is>
      </c>
      <c r="D22" s="17" t="inlineStr">
        <is>
          <t>event</t>
        </is>
      </c>
      <c r="E22" s="17" t="inlineStr">
        <is>
          <t>Enterprise</t>
        </is>
      </c>
      <c r="F22" s="17" t="n">
        <v>1</v>
      </c>
      <c r="G22" s="17" t="inlineStr">
        <is>
          <t>Não</t>
        </is>
      </c>
      <c r="H22" s="18" t="n">
        <v>45597</v>
      </c>
      <c r="I22" s="17" t="n">
        <v>1</v>
      </c>
      <c r="J22" s="17" t="n">
        <v>10</v>
      </c>
      <c r="K22" s="17" t="n">
        <v>10</v>
      </c>
      <c r="L22" s="17" t="n">
        <v>2</v>
      </c>
      <c r="M22" s="17" t="n">
        <v>8</v>
      </c>
      <c r="N22" s="18" t="n">
        <v>45608</v>
      </c>
      <c r="O22" s="17" t="n">
        <v>11</v>
      </c>
      <c r="P22" s="17" t="inlineStr">
        <is>
          <t>pricing</t>
        </is>
      </c>
      <c r="Q22" s="17" t="inlineStr">
        <is>
          <t>switched to competitor</t>
        </is>
      </c>
      <c r="R22" s="17" t="inlineStr">
        <is>
          <t>Sim</t>
        </is>
      </c>
      <c r="S22" s="17" t="inlineStr">
        <is>
          <t>Sim</t>
        </is>
      </c>
      <c r="T22" s="17" t="n">
        <v>8</v>
      </c>
      <c r="U22" s="17" t="n">
        <v>8</v>
      </c>
      <c r="V22" s="17" t="n">
        <v>0</v>
      </c>
      <c r="W22" s="17" t="n">
        <v>56</v>
      </c>
      <c r="X22" s="19" t="n">
        <v>0.339</v>
      </c>
    </row>
  </sheetData>
  <conditionalFormatting sqref="U2:U22">
    <cfRule type="cellIs" priority="1" operator="greaterThan" dxfId="0">
      <formula>0</formula>
    </cfRule>
  </conditionalFormatting>
  <conditionalFormatting sqref="M2:M22">
    <cfRule type="cellIs" priority="2" operator="greaterThan" dxfId="1">
      <formula>0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7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20" customWidth="1" min="3" max="3"/>
    <col width="80" customWidth="1" min="4" max="4"/>
    <col width="22" customWidth="1" min="5" max="5"/>
  </cols>
  <sheetData>
    <row r="1" ht="44" customHeight="1">
      <c r="A1" s="16" t="inlineStr">
        <is>
          <t>Conta</t>
        </is>
      </c>
      <c r="B1" s="16" t="inlineStr">
        <is>
          <t>Data</t>
        </is>
      </c>
      <c r="C1" s="16" t="inlineStr">
        <is>
          <t>Tipo</t>
        </is>
      </c>
      <c r="D1" s="16" t="inlineStr">
        <is>
          <t>Detalhe</t>
        </is>
      </c>
      <c r="E1" s="16" t="inlineStr">
        <is>
          <t>Alerta</t>
        </is>
      </c>
    </row>
    <row r="2">
      <c r="A2" s="17" t="inlineStr">
        <is>
          <t>A-0354fe</t>
        </is>
      </c>
      <c r="B2" s="18" t="n">
        <v>44946</v>
      </c>
      <c r="C2" s="17" t="inlineStr">
        <is>
          <t>5 Ticket</t>
        </is>
      </c>
      <c r="D2" s="17" t="inlineStr">
        <is>
          <t>T-02ebc4 · prioridade low · satisfação 5</t>
        </is>
      </c>
      <c r="E2" s="17" t="inlineStr">
        <is>
          <t>Data ANTES do cadastro</t>
        </is>
      </c>
    </row>
    <row r="3">
      <c r="A3" s="17" t="inlineStr">
        <is>
          <t>A-0354fe</t>
        </is>
      </c>
      <c r="B3" s="18" t="n">
        <v>45393</v>
      </c>
      <c r="C3" s="17" t="inlineStr">
        <is>
          <t>5 Ticket</t>
        </is>
      </c>
      <c r="D3" s="17" t="inlineStr">
        <is>
          <t>T-0854a1 · prioridade high</t>
        </is>
      </c>
      <c r="E3" s="17" t="inlineStr">
        <is>
          <t>Data ANTES do cadastro</t>
        </is>
      </c>
    </row>
    <row r="4">
      <c r="A4" s="17" t="inlineStr">
        <is>
          <t>A-0354fe</t>
        </is>
      </c>
      <c r="B4" s="18" t="n">
        <v>45587</v>
      </c>
      <c r="C4" s="17" t="inlineStr">
        <is>
          <t>1 Cadastro da conta</t>
        </is>
      </c>
      <c r="D4" s="17" t="inlineStr">
        <is>
          <t>Cybersecurity · US · canal other · plano inicial Basic · 34 seats</t>
        </is>
      </c>
      <c r="E4" s="17" t="inlineStr"/>
    </row>
    <row r="5">
      <c r="A5" s="17" t="inlineStr">
        <is>
          <t>A-0354fe</t>
        </is>
      </c>
      <c r="B5" s="18" t="n">
        <v>45599</v>
      </c>
      <c r="C5" s="17" t="inlineStr">
        <is>
          <t>2 Assinatura iniciada</t>
        </is>
      </c>
      <c r="D5" s="17" t="inlineStr">
        <is>
          <t>S-519f1c · Basic · mensal · 34 seats</t>
        </is>
      </c>
      <c r="E5" s="17" t="inlineStr"/>
    </row>
    <row r="6">
      <c r="A6" s="17" t="inlineStr">
        <is>
          <t>A-0354fe</t>
        </is>
      </c>
      <c r="B6" s="18" t="n">
        <v>45599</v>
      </c>
      <c r="C6" s="17" t="inlineStr">
        <is>
          <t>2 Assinatura iniciada</t>
        </is>
      </c>
      <c r="D6" s="17" t="inlineStr">
        <is>
          <t>S-487d18 · Enterprise · anual · 34 seats · trial</t>
        </is>
      </c>
      <c r="E6" s="17" t="inlineStr"/>
    </row>
    <row r="7">
      <c r="A7" s="17" t="inlineStr">
        <is>
          <t>A-0354fe</t>
        </is>
      </c>
      <c r="B7" s="18" t="n">
        <v>45603</v>
      </c>
      <c r="C7" s="17" t="inlineStr">
        <is>
          <t>5 Ticket</t>
        </is>
      </c>
      <c r="D7" s="17" t="inlineStr">
        <is>
          <t>T-12b388 · prioridade medium</t>
        </is>
      </c>
      <c r="E7" s="17" t="inlineStr"/>
    </row>
    <row r="8">
      <c r="A8" s="17" t="inlineStr">
        <is>
          <t>A-0354fe</t>
        </is>
      </c>
      <c r="B8" s="18" t="n">
        <v>45611</v>
      </c>
      <c r="C8" s="17" t="inlineStr">
        <is>
          <t>2 Assinatura iniciada</t>
        </is>
      </c>
      <c r="D8" s="17" t="inlineStr">
        <is>
          <t>S-bc5908 · Enterprise · mensal · 34 seats</t>
        </is>
      </c>
      <c r="E8" s="17" t="inlineStr"/>
    </row>
    <row r="9">
      <c r="A9" s="17" t="inlineStr">
        <is>
          <t>A-0354fe</t>
        </is>
      </c>
      <c r="B9" s="18" t="n">
        <v>45611</v>
      </c>
      <c r="C9" s="17" t="inlineStr">
        <is>
          <t>4 Evento de churn</t>
        </is>
      </c>
      <c r="D9" s="17" t="inlineStr">
        <is>
          <t>motivo unknown · comentário: switched to competitor</t>
        </is>
      </c>
      <c r="E9" s="17" t="inlineStr"/>
    </row>
    <row r="10">
      <c r="A10" s="17" t="inlineStr">
        <is>
          <t>A-0354fe</t>
        </is>
      </c>
      <c r="B10" s="18" t="n">
        <v>45612</v>
      </c>
      <c r="C10" s="17" t="inlineStr">
        <is>
          <t>2 Assinatura iniciada</t>
        </is>
      </c>
      <c r="D10" s="17" t="inlineStr">
        <is>
          <t>S-c8fd93 · Basic · mensal · 34 seats</t>
        </is>
      </c>
      <c r="E10" s="17" t="inlineStr"/>
    </row>
    <row r="11">
      <c r="A11" s="17" t="inlineStr">
        <is>
          <t>A-0354fe</t>
        </is>
      </c>
      <c r="B11" s="18" t="n">
        <v>45616</v>
      </c>
      <c r="C11" s="17" t="inlineStr">
        <is>
          <t>3 Assinatura encerrada</t>
        </is>
      </c>
      <c r="D11" s="17" t="inlineStr">
        <is>
          <t>S-c8fd93 · Basic · mensal · 34 seats · 4 dias de vida</t>
        </is>
      </c>
      <c r="E11" s="17" t="inlineStr">
        <is>
          <t>Cancelamento rápido</t>
        </is>
      </c>
    </row>
    <row r="12">
      <c r="A12" s="17" t="inlineStr">
        <is>
          <t>A-0354fe</t>
        </is>
      </c>
      <c r="B12" s="18" t="n">
        <v>45619</v>
      </c>
      <c r="C12" s="17" t="inlineStr">
        <is>
          <t>2 Assinatura iniciada</t>
        </is>
      </c>
      <c r="D12" s="17" t="inlineStr">
        <is>
          <t>S-ab63e3 · Basic · anual · 34 seats</t>
        </is>
      </c>
      <c r="E12" s="17" t="inlineStr"/>
    </row>
    <row r="13">
      <c r="A13" s="17" t="inlineStr">
        <is>
          <t>A-0354fe</t>
        </is>
      </c>
      <c r="B13" s="18" t="n">
        <v>45622</v>
      </c>
      <c r="C13" s="17" t="inlineStr">
        <is>
          <t>4 Evento de churn</t>
        </is>
      </c>
      <c r="D13" s="17" t="inlineStr">
        <is>
          <t>motivo support · comentário: switched to competitor</t>
        </is>
      </c>
      <c r="E13" s="17" t="inlineStr"/>
    </row>
    <row r="14">
      <c r="A14" s="17" t="inlineStr">
        <is>
          <t>A-0354fe</t>
        </is>
      </c>
      <c r="B14" s="18" t="n">
        <v>45626</v>
      </c>
      <c r="C14" s="17" t="inlineStr">
        <is>
          <t>5 Ticket</t>
        </is>
      </c>
      <c r="D14" s="17" t="inlineStr">
        <is>
          <t>T-abd0a8 · prioridade high · satisfação 3</t>
        </is>
      </c>
      <c r="E14" s="17" t="inlineStr"/>
    </row>
    <row r="15">
      <c r="A15" s="17" t="inlineStr">
        <is>
          <t>A-0354fe</t>
        </is>
      </c>
      <c r="B15" s="18" t="n">
        <v>45636</v>
      </c>
      <c r="C15" s="17" t="inlineStr">
        <is>
          <t>2 Assinatura iniciada</t>
        </is>
      </c>
      <c r="D15" s="17" t="inlineStr">
        <is>
          <t>S-70af60 · Basic · anual · 34 seats · trial</t>
        </is>
      </c>
      <c r="E15" s="17" t="inlineStr"/>
    </row>
    <row r="16">
      <c r="A16" s="17" t="inlineStr">
        <is>
          <t>A-0354fe</t>
        </is>
      </c>
      <c r="B16" s="18" t="n">
        <v>45636</v>
      </c>
      <c r="C16" s="17" t="inlineStr">
        <is>
          <t>2 Assinatura iniciada</t>
        </is>
      </c>
      <c r="D16" s="17" t="inlineStr">
        <is>
          <t>S-9ea111 · Enterprise · mensal · 34 seats</t>
        </is>
      </c>
      <c r="E16" s="17" t="inlineStr"/>
    </row>
    <row r="17">
      <c r="A17" s="17" t="inlineStr">
        <is>
          <t>A-0b0d6d</t>
        </is>
      </c>
      <c r="B17" s="18" t="n">
        <v>45051</v>
      </c>
      <c r="C17" s="17" t="inlineStr">
        <is>
          <t>5 Ticket</t>
        </is>
      </c>
      <c r="D17" s="17" t="inlineStr">
        <is>
          <t>T-bccf47 · prioridade high</t>
        </is>
      </c>
      <c r="E17" s="17" t="inlineStr">
        <is>
          <t>Data ANTES do cadastro</t>
        </is>
      </c>
    </row>
    <row r="18">
      <c r="A18" s="17" t="inlineStr">
        <is>
          <t>A-0b0d6d</t>
        </is>
      </c>
      <c r="B18" s="18" t="n">
        <v>45052</v>
      </c>
      <c r="C18" s="17" t="inlineStr">
        <is>
          <t>5 Ticket</t>
        </is>
      </c>
      <c r="D18" s="17" t="inlineStr">
        <is>
          <t>T-14733a · prioridade high · satisfação 5 · escalado</t>
        </is>
      </c>
      <c r="E18" s="17" t="inlineStr">
        <is>
          <t>Data ANTES do cadastro</t>
        </is>
      </c>
    </row>
    <row r="19">
      <c r="A19" s="17" t="inlineStr">
        <is>
          <t>A-0b0d6d</t>
        </is>
      </c>
      <c r="B19" s="18" t="n">
        <v>45141</v>
      </c>
      <c r="C19" s="17" t="inlineStr">
        <is>
          <t>5 Ticket</t>
        </is>
      </c>
      <c r="D19" s="17" t="inlineStr">
        <is>
          <t>T-1760ba · prioridade medium · satisfação 3</t>
        </is>
      </c>
      <c r="E19" s="17" t="inlineStr">
        <is>
          <t>Data ANTES do cadastro</t>
        </is>
      </c>
    </row>
    <row r="20">
      <c r="A20" s="17" t="inlineStr">
        <is>
          <t>A-0b0d6d</t>
        </is>
      </c>
      <c r="B20" s="18" t="n">
        <v>45305</v>
      </c>
      <c r="C20" s="17" t="inlineStr">
        <is>
          <t>5 Ticket</t>
        </is>
      </c>
      <c r="D20" s="17" t="inlineStr">
        <is>
          <t>T-88d5fe · prioridade urgent</t>
        </is>
      </c>
      <c r="E20" s="17" t="inlineStr">
        <is>
          <t>Data ANTES do cadastro</t>
        </is>
      </c>
    </row>
    <row r="21">
      <c r="A21" s="17" t="inlineStr">
        <is>
          <t>A-0b0d6d</t>
        </is>
      </c>
      <c r="B21" s="18" t="n">
        <v>45574</v>
      </c>
      <c r="C21" s="17" t="inlineStr">
        <is>
          <t>5 Ticket</t>
        </is>
      </c>
      <c r="D21" s="17" t="inlineStr">
        <is>
          <t>T-1df716 · prioridade medium</t>
        </is>
      </c>
      <c r="E21" s="17" t="inlineStr">
        <is>
          <t>Data ANTES do cadastro</t>
        </is>
      </c>
    </row>
    <row r="22">
      <c r="A22" s="17" t="inlineStr">
        <is>
          <t>A-0b0d6d</t>
        </is>
      </c>
      <c r="B22" s="18" t="n">
        <v>45656</v>
      </c>
      <c r="C22" s="17" t="inlineStr">
        <is>
          <t>1 Cadastro da conta</t>
        </is>
      </c>
      <c r="D22" s="17" t="inlineStr">
        <is>
          <t>DevTools · US · canal organic · plano inicial Pro · 3 seats</t>
        </is>
      </c>
      <c r="E22" s="17" t="inlineStr"/>
    </row>
    <row r="23">
      <c r="A23" s="17" t="inlineStr">
        <is>
          <t>A-0b0d6d</t>
        </is>
      </c>
      <c r="B23" s="18" t="n">
        <v>45656</v>
      </c>
      <c r="C23" s="17" t="inlineStr">
        <is>
          <t>2 Assinatura iniciada</t>
        </is>
      </c>
      <c r="D23" s="17" t="inlineStr">
        <is>
          <t>S-a69aed · Basic · mensal · 3 seats</t>
        </is>
      </c>
      <c r="E23" s="17" t="inlineStr"/>
    </row>
    <row r="24">
      <c r="A24" s="17" t="inlineStr">
        <is>
          <t>A-0b0d6d</t>
        </is>
      </c>
      <c r="B24" s="18" t="n">
        <v>45656</v>
      </c>
      <c r="C24" s="17" t="inlineStr">
        <is>
          <t>2 Assinatura iniciada</t>
        </is>
      </c>
      <c r="D24" s="17" t="inlineStr">
        <is>
          <t>S-a405f7 · Pro · anual · 22 seats</t>
        </is>
      </c>
      <c r="E24" s="17" t="inlineStr"/>
    </row>
    <row r="25">
      <c r="A25" s="17" t="inlineStr">
        <is>
          <t>A-0b0d6d</t>
        </is>
      </c>
      <c r="B25" s="18" t="n">
        <v>45656</v>
      </c>
      <c r="C25" s="17" t="inlineStr">
        <is>
          <t>2 Assinatura iniciada</t>
        </is>
      </c>
      <c r="D25" s="17" t="inlineStr">
        <is>
          <t>S-6ef81d · Basic · anual · 25 seats</t>
        </is>
      </c>
      <c r="E25" s="17" t="inlineStr"/>
    </row>
    <row r="26">
      <c r="A26" s="17" t="inlineStr">
        <is>
          <t>A-0b0d6d</t>
        </is>
      </c>
      <c r="B26" s="18" t="n">
        <v>45656</v>
      </c>
      <c r="C26" s="17" t="inlineStr">
        <is>
          <t>2 Assinatura iniciada</t>
        </is>
      </c>
      <c r="D26" s="17" t="inlineStr">
        <is>
          <t>S-196e49 · Basic · mensal · 12 seats</t>
        </is>
      </c>
      <c r="E26" s="17" t="inlineStr"/>
    </row>
    <row r="27">
      <c r="A27" s="17" t="inlineStr">
        <is>
          <t>A-0b0d6d</t>
        </is>
      </c>
      <c r="B27" s="18" t="n">
        <v>45656</v>
      </c>
      <c r="C27" s="17" t="inlineStr">
        <is>
          <t>2 Assinatura iniciada</t>
        </is>
      </c>
      <c r="D27" s="17" t="inlineStr">
        <is>
          <t>S-ef2703 · Enterprise · anual · 36 seats</t>
        </is>
      </c>
      <c r="E27" s="17" t="inlineStr"/>
    </row>
    <row r="28">
      <c r="A28" s="17" t="inlineStr">
        <is>
          <t>A-0b0d6d</t>
        </is>
      </c>
      <c r="B28" s="18" t="n">
        <v>45657</v>
      </c>
      <c r="C28" s="17" t="inlineStr">
        <is>
          <t>2 Assinatura iniciada</t>
        </is>
      </c>
      <c r="D28" s="17" t="inlineStr">
        <is>
          <t>S-b35b20 · Pro · mensal · 3 seats</t>
        </is>
      </c>
      <c r="E28" s="17" t="inlineStr"/>
    </row>
    <row r="29">
      <c r="A29" s="17" t="inlineStr">
        <is>
          <t>A-0b0d6d</t>
        </is>
      </c>
      <c r="B29" s="18" t="n">
        <v>45657</v>
      </c>
      <c r="C29" s="17" t="inlineStr">
        <is>
          <t>2 Assinatura iniciada</t>
        </is>
      </c>
      <c r="D29" s="17" t="inlineStr">
        <is>
          <t>S-b81c97 · Pro · mensal · 18 seats</t>
        </is>
      </c>
      <c r="E29" s="17" t="inlineStr"/>
    </row>
    <row r="30">
      <c r="A30" s="17" t="inlineStr">
        <is>
          <t>A-0b0d6d</t>
        </is>
      </c>
      <c r="B30" s="18" t="n">
        <v>45657</v>
      </c>
      <c r="C30" s="17" t="inlineStr">
        <is>
          <t>2 Assinatura iniciada</t>
        </is>
      </c>
      <c r="D30" s="17" t="inlineStr">
        <is>
          <t>S-246942 · Enterprise · mensal · 45 seats</t>
        </is>
      </c>
      <c r="E30" s="17" t="inlineStr"/>
    </row>
    <row r="31">
      <c r="A31" s="17" t="inlineStr">
        <is>
          <t>A-0b0d6d</t>
        </is>
      </c>
      <c r="B31" s="18" t="n">
        <v>45657</v>
      </c>
      <c r="C31" s="17" t="inlineStr">
        <is>
          <t>2 Assinatura iniciada</t>
        </is>
      </c>
      <c r="D31" s="17" t="inlineStr">
        <is>
          <t>S-3236ee · Basic · mensal · 13 seats</t>
        </is>
      </c>
      <c r="E31" s="17" t="inlineStr"/>
    </row>
    <row r="32">
      <c r="A32" s="17" t="inlineStr">
        <is>
          <t>A-0b0d6d</t>
        </is>
      </c>
      <c r="B32" s="18" t="n">
        <v>45657</v>
      </c>
      <c r="C32" s="17" t="inlineStr">
        <is>
          <t>2 Assinatura iniciada</t>
        </is>
      </c>
      <c r="D32" s="17" t="inlineStr">
        <is>
          <t>S-7e145e · Enterprise · anual · 52 seats</t>
        </is>
      </c>
      <c r="E32" s="17" t="inlineStr"/>
    </row>
    <row r="33">
      <c r="A33" s="17" t="inlineStr">
        <is>
          <t>A-0b0d6d</t>
        </is>
      </c>
      <c r="B33" s="18" t="n">
        <v>45657</v>
      </c>
      <c r="C33" s="17" t="inlineStr">
        <is>
          <t>2 Assinatura iniciada</t>
        </is>
      </c>
      <c r="D33" s="17" t="inlineStr">
        <is>
          <t>S-5e0619 · Pro · anual · 6 seats</t>
        </is>
      </c>
      <c r="E33" s="17" t="inlineStr"/>
    </row>
    <row r="34">
      <c r="A34" s="17" t="inlineStr">
        <is>
          <t>A-0b0d6d</t>
        </is>
      </c>
      <c r="B34" s="18" t="n">
        <v>45657</v>
      </c>
      <c r="C34" s="17" t="inlineStr">
        <is>
          <t>2 Assinatura iniciada</t>
        </is>
      </c>
      <c r="D34" s="17" t="inlineStr">
        <is>
          <t>S-6f47c5 · Enterprise · anual · 13 seats</t>
        </is>
      </c>
      <c r="E34" s="17" t="inlineStr"/>
    </row>
    <row r="35">
      <c r="A35" s="17" t="inlineStr">
        <is>
          <t>A-0b0d6d</t>
        </is>
      </c>
      <c r="B35" s="18" t="n">
        <v>45657</v>
      </c>
      <c r="C35" s="17" t="inlineStr">
        <is>
          <t>2 Assinatura iniciada</t>
        </is>
      </c>
      <c r="D35" s="17" t="inlineStr">
        <is>
          <t>S-5c4dd7 · Pro · anual · 21 seats</t>
        </is>
      </c>
      <c r="E35" s="17" t="inlineStr"/>
    </row>
    <row r="36">
      <c r="A36" s="17" t="inlineStr">
        <is>
          <t>A-0b0d6d</t>
        </is>
      </c>
      <c r="B36" s="18" t="n">
        <v>45657</v>
      </c>
      <c r="C36" s="17" t="inlineStr">
        <is>
          <t>3 Assinatura encerrada</t>
        </is>
      </c>
      <c r="D36" s="17" t="inlineStr">
        <is>
          <t>S-6ef81d · Basic · anual · 25 seats · 1 dias de vida</t>
        </is>
      </c>
      <c r="E36" s="17" t="inlineStr">
        <is>
          <t>Cancelamento rápido</t>
        </is>
      </c>
    </row>
    <row r="37">
      <c r="A37" s="17" t="inlineStr">
        <is>
          <t>A-0b0d6d</t>
        </is>
      </c>
      <c r="B37" s="18" t="n">
        <v>45657</v>
      </c>
      <c r="C37" s="17" t="inlineStr">
        <is>
          <t>3 Assinatura encerrada</t>
        </is>
      </c>
      <c r="D37" s="17" t="inlineStr">
        <is>
          <t>S-6f47c5 · Enterprise · anual · 13 seats · 0 dias de vida</t>
        </is>
      </c>
      <c r="E37" s="17" t="inlineStr">
        <is>
          <t>Cancelamento rápido</t>
        </is>
      </c>
    </row>
    <row r="38">
      <c r="A38" s="17" t="inlineStr">
        <is>
          <t>A-0b0d6d</t>
        </is>
      </c>
      <c r="B38" s="18" t="n">
        <v>45657</v>
      </c>
      <c r="C38" s="17" t="inlineStr">
        <is>
          <t>4 Evento de churn</t>
        </is>
      </c>
      <c r="D38" s="17" t="inlineStr">
        <is>
          <t>motivo competitor · comentário: (sem comentário)</t>
        </is>
      </c>
      <c r="E38" s="17" t="inlineStr"/>
    </row>
    <row r="39">
      <c r="A39" s="17" t="inlineStr">
        <is>
          <t>A-18793f</t>
        </is>
      </c>
      <c r="B39" s="18" t="n">
        <v>44989</v>
      </c>
      <c r="C39" s="17" t="inlineStr">
        <is>
          <t>5 Ticket</t>
        </is>
      </c>
      <c r="D39" s="17" t="inlineStr">
        <is>
          <t>T-aac2ca · prioridade low · satisfação 4</t>
        </is>
      </c>
      <c r="E39" s="17" t="inlineStr">
        <is>
          <t>Data ANTES do cadastro</t>
        </is>
      </c>
    </row>
    <row r="40">
      <c r="A40" s="17" t="inlineStr">
        <is>
          <t>A-18793f</t>
        </is>
      </c>
      <c r="B40" s="18" t="n">
        <v>45147</v>
      </c>
      <c r="C40" s="17" t="inlineStr">
        <is>
          <t>5 Ticket</t>
        </is>
      </c>
      <c r="D40" s="17" t="inlineStr">
        <is>
          <t>T-32884f · prioridade high · satisfação 5</t>
        </is>
      </c>
      <c r="E40" s="17" t="inlineStr">
        <is>
          <t>Data ANTES do cadastro</t>
        </is>
      </c>
    </row>
    <row r="41">
      <c r="A41" s="17" t="inlineStr">
        <is>
          <t>A-18793f</t>
        </is>
      </c>
      <c r="B41" s="18" t="n">
        <v>45200</v>
      </c>
      <c r="C41" s="17" t="inlineStr">
        <is>
          <t>5 Ticket</t>
        </is>
      </c>
      <c r="D41" s="17" t="inlineStr">
        <is>
          <t>T-a2dd12 · prioridade high · satisfação 4</t>
        </is>
      </c>
      <c r="E41" s="17" t="inlineStr">
        <is>
          <t>Data ANTES do cadastro</t>
        </is>
      </c>
    </row>
    <row r="42">
      <c r="A42" s="17" t="inlineStr">
        <is>
          <t>A-18793f</t>
        </is>
      </c>
      <c r="B42" s="18" t="n">
        <v>45210</v>
      </c>
      <c r="C42" s="17" t="inlineStr">
        <is>
          <t>5 Ticket</t>
        </is>
      </c>
      <c r="D42" s="17" t="inlineStr">
        <is>
          <t>T-d5f42b · prioridade low · satisfação 3</t>
        </is>
      </c>
      <c r="E42" s="17" t="inlineStr">
        <is>
          <t>Data ANTES do cadastro</t>
        </is>
      </c>
    </row>
    <row r="43">
      <c r="A43" s="17" t="inlineStr">
        <is>
          <t>A-18793f</t>
        </is>
      </c>
      <c r="B43" s="18" t="n">
        <v>45269</v>
      </c>
      <c r="C43" s="17" t="inlineStr">
        <is>
          <t>5 Ticket</t>
        </is>
      </c>
      <c r="D43" s="17" t="inlineStr">
        <is>
          <t>T-36a591 · prioridade low · satisfação 3</t>
        </is>
      </c>
      <c r="E43" s="17" t="inlineStr">
        <is>
          <t>Data ANTES do cadastro</t>
        </is>
      </c>
    </row>
    <row r="44">
      <c r="A44" s="17" t="inlineStr">
        <is>
          <t>A-18793f</t>
        </is>
      </c>
      <c r="B44" s="18" t="n">
        <v>45644</v>
      </c>
      <c r="C44" s="17" t="inlineStr">
        <is>
          <t>1 Cadastro da conta</t>
        </is>
      </c>
      <c r="D44" s="17" t="inlineStr">
        <is>
          <t>EdTech · US · canal organic · plano inicial Basic · 148 seats</t>
        </is>
      </c>
      <c r="E44" s="17" t="inlineStr"/>
    </row>
    <row r="45">
      <c r="A45" s="17" t="inlineStr">
        <is>
          <t>A-18793f</t>
        </is>
      </c>
      <c r="B45" s="18" t="n">
        <v>45645</v>
      </c>
      <c r="C45" s="17" t="inlineStr">
        <is>
          <t>2 Assinatura iniciada</t>
        </is>
      </c>
      <c r="D45" s="17" t="inlineStr">
        <is>
          <t>S-198dbe · Pro · mensal · 148 seats</t>
        </is>
      </c>
      <c r="E45" s="17" t="inlineStr"/>
    </row>
    <row r="46">
      <c r="A46" s="17" t="inlineStr">
        <is>
          <t>A-18793f</t>
        </is>
      </c>
      <c r="B46" s="18" t="n">
        <v>45645</v>
      </c>
      <c r="C46" s="17" t="inlineStr">
        <is>
          <t>2 Assinatura iniciada</t>
        </is>
      </c>
      <c r="D46" s="17" t="inlineStr">
        <is>
          <t>S-155b3e · Enterprise · anual · 148 seats</t>
        </is>
      </c>
      <c r="E46" s="17" t="inlineStr"/>
    </row>
    <row r="47">
      <c r="A47" s="17" t="inlineStr">
        <is>
          <t>A-18793f</t>
        </is>
      </c>
      <c r="B47" s="18" t="n">
        <v>45645</v>
      </c>
      <c r="C47" s="17" t="inlineStr">
        <is>
          <t>2 Assinatura iniciada</t>
        </is>
      </c>
      <c r="D47" s="17" t="inlineStr">
        <is>
          <t>S-ad8908 · Pro · anual · 148 seats</t>
        </is>
      </c>
      <c r="E47" s="17" t="inlineStr"/>
    </row>
    <row r="48">
      <c r="A48" s="17" t="inlineStr">
        <is>
          <t>A-18793f</t>
        </is>
      </c>
      <c r="B48" s="18" t="n">
        <v>45646</v>
      </c>
      <c r="C48" s="17" t="inlineStr">
        <is>
          <t>2 Assinatura iniciada</t>
        </is>
      </c>
      <c r="D48" s="17" t="inlineStr">
        <is>
          <t>S-51cb35 · Basic · anual · 148 seats</t>
        </is>
      </c>
      <c r="E48" s="17" t="inlineStr"/>
    </row>
    <row r="49">
      <c r="A49" s="17" t="inlineStr">
        <is>
          <t>A-18793f</t>
        </is>
      </c>
      <c r="B49" s="18" t="n">
        <v>45649</v>
      </c>
      <c r="C49" s="17" t="inlineStr">
        <is>
          <t>2 Assinatura iniciada</t>
        </is>
      </c>
      <c r="D49" s="17" t="inlineStr">
        <is>
          <t>S-74f146 · Pro · mensal · 148 seats</t>
        </is>
      </c>
      <c r="E49" s="17" t="inlineStr"/>
    </row>
    <row r="50">
      <c r="A50" s="17" t="inlineStr">
        <is>
          <t>A-18793f</t>
        </is>
      </c>
      <c r="B50" s="18" t="n">
        <v>45650</v>
      </c>
      <c r="C50" s="17" t="inlineStr">
        <is>
          <t>2 Assinatura iniciada</t>
        </is>
      </c>
      <c r="D50" s="17" t="inlineStr">
        <is>
          <t>S-88de1c · Basic · anual · 148 seats</t>
        </is>
      </c>
      <c r="E50" s="17" t="inlineStr"/>
    </row>
    <row r="51">
      <c r="A51" s="17" t="inlineStr">
        <is>
          <t>A-18793f</t>
        </is>
      </c>
      <c r="B51" s="18" t="n">
        <v>45650</v>
      </c>
      <c r="C51" s="17" t="inlineStr">
        <is>
          <t>2 Assinatura iniciada</t>
        </is>
      </c>
      <c r="D51" s="17" t="inlineStr">
        <is>
          <t>S-58a7c0 · Enterprise · mensal · 148 seats · trial</t>
        </is>
      </c>
      <c r="E51" s="17" t="inlineStr"/>
    </row>
    <row r="52">
      <c r="A52" s="17" t="inlineStr">
        <is>
          <t>A-18793f</t>
        </is>
      </c>
      <c r="B52" s="18" t="n">
        <v>45651</v>
      </c>
      <c r="C52" s="17" t="inlineStr">
        <is>
          <t>2 Assinatura iniciada</t>
        </is>
      </c>
      <c r="D52" s="17" t="inlineStr">
        <is>
          <t>S-e854de · Pro · mensal · 148 seats</t>
        </is>
      </c>
      <c r="E52" s="17" t="inlineStr"/>
    </row>
    <row r="53">
      <c r="A53" s="17" t="inlineStr">
        <is>
          <t>A-18793f</t>
        </is>
      </c>
      <c r="B53" s="18" t="n">
        <v>45655</v>
      </c>
      <c r="C53" s="17" t="inlineStr">
        <is>
          <t>2 Assinatura iniciada</t>
        </is>
      </c>
      <c r="D53" s="17" t="inlineStr">
        <is>
          <t>S-429220 · Pro · mensal · 148 seats</t>
        </is>
      </c>
      <c r="E53" s="17" t="inlineStr"/>
    </row>
    <row r="54">
      <c r="A54" s="17" t="inlineStr">
        <is>
          <t>A-18793f</t>
        </is>
      </c>
      <c r="B54" s="18" t="n">
        <v>45655</v>
      </c>
      <c r="C54" s="17" t="inlineStr">
        <is>
          <t>2 Assinatura iniciada</t>
        </is>
      </c>
      <c r="D54" s="17" t="inlineStr">
        <is>
          <t>S-2fd486 · Pro · anual · 148 seats</t>
        </is>
      </c>
      <c r="E54" s="17" t="inlineStr"/>
    </row>
    <row r="55">
      <c r="A55" s="17" t="inlineStr">
        <is>
          <t>A-18793f</t>
        </is>
      </c>
      <c r="B55" s="18" t="n">
        <v>45655</v>
      </c>
      <c r="C55" s="17" t="inlineStr">
        <is>
          <t>3 Assinatura encerrada</t>
        </is>
      </c>
      <c r="D55" s="17" t="inlineStr">
        <is>
          <t>S-51cb35 · Basic · anual · 148 seats · 9 dias de vida</t>
        </is>
      </c>
      <c r="E55" s="17" t="inlineStr">
        <is>
          <t>Cancelamento rápido</t>
        </is>
      </c>
    </row>
    <row r="56">
      <c r="A56" s="17" t="inlineStr">
        <is>
          <t>A-18793f</t>
        </is>
      </c>
      <c r="B56" s="18" t="n">
        <v>45656</v>
      </c>
      <c r="C56" s="17" t="inlineStr">
        <is>
          <t>2 Assinatura iniciada</t>
        </is>
      </c>
      <c r="D56" s="17" t="inlineStr">
        <is>
          <t>S-e2d4e9 · Basic · mensal · 148 seats · trial</t>
        </is>
      </c>
      <c r="E56" s="17" t="inlineStr"/>
    </row>
    <row r="57">
      <c r="A57" s="17" t="inlineStr">
        <is>
          <t>A-18793f</t>
        </is>
      </c>
      <c r="B57" s="18" t="n">
        <v>45656</v>
      </c>
      <c r="C57" s="17" t="inlineStr">
        <is>
          <t>4 Evento de churn</t>
        </is>
      </c>
      <c r="D57" s="17" t="inlineStr">
        <is>
          <t>motivo support · comentário: (sem comentário) · reembolso US$ 25.41</t>
        </is>
      </c>
      <c r="E57" s="17" t="inlineStr"/>
    </row>
    <row r="58">
      <c r="A58" s="17" t="inlineStr">
        <is>
          <t>A-309e54</t>
        </is>
      </c>
      <c r="B58" s="18" t="n">
        <v>45076</v>
      </c>
      <c r="C58" s="17" t="inlineStr">
        <is>
          <t>5 Ticket</t>
        </is>
      </c>
      <c r="D58" s="17" t="inlineStr">
        <is>
          <t>T-8f8c19 · prioridade low</t>
        </is>
      </c>
      <c r="E58" s="17" t="inlineStr">
        <is>
          <t>Data ANTES do cadastro</t>
        </is>
      </c>
    </row>
    <row r="59">
      <c r="A59" s="17" t="inlineStr">
        <is>
          <t>A-309e54</t>
        </is>
      </c>
      <c r="B59" s="18" t="n">
        <v>45297</v>
      </c>
      <c r="C59" s="17" t="inlineStr">
        <is>
          <t>5 Ticket</t>
        </is>
      </c>
      <c r="D59" s="17" t="inlineStr">
        <is>
          <t>T-f7b50d · prioridade urgent</t>
        </is>
      </c>
      <c r="E59" s="17" t="inlineStr">
        <is>
          <t>Data ANTES do cadastro</t>
        </is>
      </c>
    </row>
    <row r="60">
      <c r="A60" s="17" t="inlineStr">
        <is>
          <t>A-309e54</t>
        </is>
      </c>
      <c r="B60" s="18" t="n">
        <v>45409</v>
      </c>
      <c r="C60" s="17" t="inlineStr">
        <is>
          <t>5 Ticket</t>
        </is>
      </c>
      <c r="D60" s="17" t="inlineStr">
        <is>
          <t>T-08c89b · prioridade urgent · satisfação 3</t>
        </is>
      </c>
      <c r="E60" s="17" t="inlineStr">
        <is>
          <t>Data ANTES do cadastro</t>
        </is>
      </c>
    </row>
    <row r="61">
      <c r="A61" s="17" t="inlineStr">
        <is>
          <t>A-309e54</t>
        </is>
      </c>
      <c r="B61" s="18" t="n">
        <v>45492</v>
      </c>
      <c r="C61" s="17" t="inlineStr">
        <is>
          <t>5 Ticket</t>
        </is>
      </c>
      <c r="D61" s="17" t="inlineStr">
        <is>
          <t>T-c9f3f0 · prioridade high</t>
        </is>
      </c>
      <c r="E61" s="17" t="inlineStr">
        <is>
          <t>Data ANTES do cadastro</t>
        </is>
      </c>
    </row>
    <row r="62">
      <c r="A62" s="17" t="inlineStr">
        <is>
          <t>A-309e54</t>
        </is>
      </c>
      <c r="B62" s="18" t="n">
        <v>45559</v>
      </c>
      <c r="C62" s="17" t="inlineStr">
        <is>
          <t>5 Ticket</t>
        </is>
      </c>
      <c r="D62" s="17" t="inlineStr">
        <is>
          <t>T-f17009 · prioridade medium</t>
        </is>
      </c>
      <c r="E62" s="17" t="inlineStr">
        <is>
          <t>Data ANTES do cadastro</t>
        </is>
      </c>
    </row>
    <row r="63">
      <c r="A63" s="17" t="inlineStr">
        <is>
          <t>A-309e54</t>
        </is>
      </c>
      <c r="B63" s="18" t="n">
        <v>45635</v>
      </c>
      <c r="C63" s="17" t="inlineStr">
        <is>
          <t>1 Cadastro da conta</t>
        </is>
      </c>
      <c r="D63" s="17" t="inlineStr">
        <is>
          <t>DevTools · US · canal other · plano inicial Pro · 15 seats</t>
        </is>
      </c>
      <c r="E63" s="17" t="inlineStr"/>
    </row>
    <row r="64">
      <c r="A64" s="17" t="inlineStr">
        <is>
          <t>A-309e54</t>
        </is>
      </c>
      <c r="B64" s="18" t="n">
        <v>45639</v>
      </c>
      <c r="C64" s="17" t="inlineStr">
        <is>
          <t>2 Assinatura iniciada</t>
        </is>
      </c>
      <c r="D64" s="17" t="inlineStr">
        <is>
          <t>S-f2710b · Enterprise · anual · 46 seats · trial</t>
        </is>
      </c>
      <c r="E64" s="17" t="inlineStr"/>
    </row>
    <row r="65">
      <c r="A65" s="17" t="inlineStr">
        <is>
          <t>A-309e54</t>
        </is>
      </c>
      <c r="B65" s="18" t="n">
        <v>45640</v>
      </c>
      <c r="C65" s="17" t="inlineStr">
        <is>
          <t>2 Assinatura iniciada</t>
        </is>
      </c>
      <c r="D65" s="17" t="inlineStr">
        <is>
          <t>S-ca9532 · Enterprise · anual · 15 seats</t>
        </is>
      </c>
      <c r="E65" s="17" t="inlineStr"/>
    </row>
    <row r="66">
      <c r="A66" s="17" t="inlineStr">
        <is>
          <t>A-309e54</t>
        </is>
      </c>
      <c r="B66" s="18" t="n">
        <v>45640</v>
      </c>
      <c r="C66" s="17" t="inlineStr">
        <is>
          <t>4 Evento de churn</t>
        </is>
      </c>
      <c r="D66" s="17" t="inlineStr">
        <is>
          <t>motivo support · comentário: missing features · reembolso US$ 106.67</t>
        </is>
      </c>
      <c r="E66" s="17" t="inlineStr"/>
    </row>
    <row r="67">
      <c r="A67" s="17" t="inlineStr">
        <is>
          <t>A-309e54</t>
        </is>
      </c>
      <c r="B67" s="18" t="n">
        <v>45646</v>
      </c>
      <c r="C67" s="17" t="inlineStr">
        <is>
          <t>2 Assinatura iniciada</t>
        </is>
      </c>
      <c r="D67" s="17" t="inlineStr">
        <is>
          <t>S-82a7dd · Basic · mensal · 15 seats</t>
        </is>
      </c>
      <c r="E67" s="17" t="inlineStr"/>
    </row>
    <row r="68">
      <c r="A68" s="17" t="inlineStr">
        <is>
          <t>A-309e54</t>
        </is>
      </c>
      <c r="B68" s="18" t="n">
        <v>45647</v>
      </c>
      <c r="C68" s="17" t="inlineStr">
        <is>
          <t>2 Assinatura iniciada</t>
        </is>
      </c>
      <c r="D68" s="17" t="inlineStr">
        <is>
          <t>S-dc6a2a · Pro · mensal · 15 seats · trial</t>
        </is>
      </c>
      <c r="E68" s="17" t="inlineStr"/>
    </row>
    <row r="69">
      <c r="A69" s="17" t="inlineStr">
        <is>
          <t>A-309e54</t>
        </is>
      </c>
      <c r="B69" s="18" t="n">
        <v>45647</v>
      </c>
      <c r="C69" s="17" t="inlineStr">
        <is>
          <t>2 Assinatura iniciada</t>
        </is>
      </c>
      <c r="D69" s="17" t="inlineStr">
        <is>
          <t>S-a18ab0 · Pro · mensal · 15 seats</t>
        </is>
      </c>
      <c r="E69" s="17" t="inlineStr"/>
    </row>
    <row r="70">
      <c r="A70" s="17" t="inlineStr">
        <is>
          <t>A-309e54</t>
        </is>
      </c>
      <c r="B70" s="18" t="n">
        <v>45647</v>
      </c>
      <c r="C70" s="17" t="inlineStr">
        <is>
          <t>2 Assinatura iniciada</t>
        </is>
      </c>
      <c r="D70" s="17" t="inlineStr">
        <is>
          <t>S-93fa71 · Enterprise · anual · 59 seats</t>
        </is>
      </c>
      <c r="E70" s="17" t="inlineStr"/>
    </row>
    <row r="71">
      <c r="A71" s="17" t="inlineStr">
        <is>
          <t>A-309e54</t>
        </is>
      </c>
      <c r="B71" s="18" t="n">
        <v>45652</v>
      </c>
      <c r="C71" s="17" t="inlineStr">
        <is>
          <t>2 Assinatura iniciada</t>
        </is>
      </c>
      <c r="D71" s="17" t="inlineStr">
        <is>
          <t>S-8b1fc1 · Basic · mensal · 15 seats · trial</t>
        </is>
      </c>
      <c r="E71" s="17" t="inlineStr"/>
    </row>
    <row r="72">
      <c r="A72" s="17" t="inlineStr">
        <is>
          <t>A-309e54</t>
        </is>
      </c>
      <c r="B72" s="18" t="n">
        <v>45652</v>
      </c>
      <c r="C72" s="17" t="inlineStr">
        <is>
          <t>2 Assinatura iniciada</t>
        </is>
      </c>
      <c r="D72" s="17" t="inlineStr">
        <is>
          <t>S-5ca11a · Enterprise · anual · 48 seats</t>
        </is>
      </c>
      <c r="E72" s="17" t="inlineStr"/>
    </row>
    <row r="73">
      <c r="A73" s="17" t="inlineStr">
        <is>
          <t>A-309e54</t>
        </is>
      </c>
      <c r="B73" s="18" t="n">
        <v>45653</v>
      </c>
      <c r="C73" s="17" t="inlineStr">
        <is>
          <t>2 Assinatura iniciada</t>
        </is>
      </c>
      <c r="D73" s="17" t="inlineStr">
        <is>
          <t>S-0ae114 · Basic · mensal · 71 seats</t>
        </is>
      </c>
      <c r="E73" s="17" t="inlineStr"/>
    </row>
    <row r="74">
      <c r="A74" s="17" t="inlineStr">
        <is>
          <t>A-309e54</t>
        </is>
      </c>
      <c r="B74" s="18" t="n">
        <v>45655</v>
      </c>
      <c r="C74" s="17" t="inlineStr">
        <is>
          <t>2 Assinatura iniciada</t>
        </is>
      </c>
      <c r="D74" s="17" t="inlineStr">
        <is>
          <t>S-8b24a0 · Pro · mensal · 33 seats</t>
        </is>
      </c>
      <c r="E74" s="17" t="inlineStr"/>
    </row>
    <row r="75">
      <c r="A75" s="17" t="inlineStr">
        <is>
          <t>A-309e54</t>
        </is>
      </c>
      <c r="B75" s="18" t="n">
        <v>45656</v>
      </c>
      <c r="C75" s="17" t="inlineStr">
        <is>
          <t>3 Assinatura encerrada</t>
        </is>
      </c>
      <c r="D75" s="17" t="inlineStr">
        <is>
          <t>S-8b24a0 · Pro · mensal · 33 seats · 1 dias de vida</t>
        </is>
      </c>
      <c r="E75" s="17" t="inlineStr">
        <is>
          <t>Cancelamento rápido</t>
        </is>
      </c>
    </row>
    <row r="76">
      <c r="A76" s="17" t="inlineStr">
        <is>
          <t>A-309e54</t>
        </is>
      </c>
      <c r="B76" s="18" t="n">
        <v>45657</v>
      </c>
      <c r="C76" s="17" t="inlineStr">
        <is>
          <t>2 Assinatura iniciada</t>
        </is>
      </c>
      <c r="D76" s="17" t="inlineStr">
        <is>
          <t>S-e98d6b · Basic · anual · 15 seats</t>
        </is>
      </c>
      <c r="E76" s="17" t="inlineStr"/>
    </row>
    <row r="77">
      <c r="A77" s="17" t="inlineStr">
        <is>
          <t>A-39ddf4</t>
        </is>
      </c>
      <c r="B77" s="18" t="n">
        <v>44937</v>
      </c>
      <c r="C77" s="17" t="inlineStr">
        <is>
          <t>5 Ticket</t>
        </is>
      </c>
      <c r="D77" s="17" t="inlineStr">
        <is>
          <t>T-890bef · prioridade high · satisfação 4</t>
        </is>
      </c>
      <c r="E77" s="17" t="inlineStr">
        <is>
          <t>Data ANTES do cadastro</t>
        </is>
      </c>
    </row>
    <row r="78">
      <c r="A78" s="17" t="inlineStr">
        <is>
          <t>A-39ddf4</t>
        </is>
      </c>
      <c r="B78" s="18" t="n">
        <v>45077</v>
      </c>
      <c r="C78" s="17" t="inlineStr">
        <is>
          <t>5 Ticket</t>
        </is>
      </c>
      <c r="D78" s="17" t="inlineStr">
        <is>
          <t>T-429ce0 · prioridade high · satisfação 5</t>
        </is>
      </c>
      <c r="E78" s="17" t="inlineStr">
        <is>
          <t>Data ANTES do cadastro</t>
        </is>
      </c>
    </row>
    <row r="79">
      <c r="A79" s="17" t="inlineStr">
        <is>
          <t>A-39ddf4</t>
        </is>
      </c>
      <c r="B79" s="18" t="n">
        <v>45360</v>
      </c>
      <c r="C79" s="17" t="inlineStr">
        <is>
          <t>5 Ticket</t>
        </is>
      </c>
      <c r="D79" s="17" t="inlineStr">
        <is>
          <t>T-a3df20 · prioridade high</t>
        </is>
      </c>
      <c r="E79" s="17" t="inlineStr">
        <is>
          <t>Data ANTES do cadastro</t>
        </is>
      </c>
    </row>
    <row r="80">
      <c r="A80" s="17" t="inlineStr">
        <is>
          <t>A-39ddf4</t>
        </is>
      </c>
      <c r="B80" s="18" t="n">
        <v>45364</v>
      </c>
      <c r="C80" s="17" t="inlineStr">
        <is>
          <t>5 Ticket</t>
        </is>
      </c>
      <c r="D80" s="17" t="inlineStr">
        <is>
          <t>T-3b3bad · prioridade medium · satisfação 4</t>
        </is>
      </c>
      <c r="E80" s="17" t="inlineStr">
        <is>
          <t>Data ANTES do cadastro</t>
        </is>
      </c>
    </row>
    <row r="81">
      <c r="A81" s="17" t="inlineStr">
        <is>
          <t>A-39ddf4</t>
        </is>
      </c>
      <c r="B81" s="18" t="n">
        <v>45579</v>
      </c>
      <c r="C81" s="17" t="inlineStr">
        <is>
          <t>5 Ticket</t>
        </is>
      </c>
      <c r="D81" s="17" t="inlineStr">
        <is>
          <t>T-1cf7fa · prioridade high · satisfação 4</t>
        </is>
      </c>
      <c r="E81" s="17" t="inlineStr">
        <is>
          <t>Data ANTES do cadastro</t>
        </is>
      </c>
    </row>
    <row r="82">
      <c r="A82" s="17" t="inlineStr">
        <is>
          <t>A-39ddf4</t>
        </is>
      </c>
      <c r="B82" s="18" t="n">
        <v>45631</v>
      </c>
      <c r="C82" s="17" t="inlineStr">
        <is>
          <t>1 Cadastro da conta</t>
        </is>
      </c>
      <c r="D82" s="17" t="inlineStr">
        <is>
          <t>EdTech · US · canal partner · plano inicial Enterprise · 40 seats</t>
        </is>
      </c>
      <c r="E82" s="17" t="inlineStr"/>
    </row>
    <row r="83">
      <c r="A83" s="17" t="inlineStr">
        <is>
          <t>A-39ddf4</t>
        </is>
      </c>
      <c r="B83" s="18" t="n">
        <v>45633</v>
      </c>
      <c r="C83" s="17" t="inlineStr">
        <is>
          <t>2 Assinatura iniciada</t>
        </is>
      </c>
      <c r="D83" s="17" t="inlineStr">
        <is>
          <t>S-61e86c · Enterprise · anual · 40 seats</t>
        </is>
      </c>
      <c r="E83" s="17" t="inlineStr"/>
    </row>
    <row r="84">
      <c r="A84" s="17" t="inlineStr">
        <is>
          <t>A-39ddf4</t>
        </is>
      </c>
      <c r="B84" s="18" t="n">
        <v>45636</v>
      </c>
      <c r="C84" s="17" t="inlineStr">
        <is>
          <t>2 Assinatura iniciada</t>
        </is>
      </c>
      <c r="D84" s="17" t="inlineStr">
        <is>
          <t>S-46526e · Pro · anual · 44 seats</t>
        </is>
      </c>
      <c r="E84" s="17" t="inlineStr"/>
    </row>
    <row r="85">
      <c r="A85" s="17" t="inlineStr">
        <is>
          <t>A-39ddf4</t>
        </is>
      </c>
      <c r="B85" s="18" t="n">
        <v>45639</v>
      </c>
      <c r="C85" s="17" t="inlineStr">
        <is>
          <t>4 Evento de churn</t>
        </is>
      </c>
      <c r="D85" s="17" t="inlineStr">
        <is>
          <t>motivo support · comentário: (sem comentário)</t>
        </is>
      </c>
      <c r="E85" s="17" t="inlineStr"/>
    </row>
    <row r="86">
      <c r="A86" s="17" t="inlineStr">
        <is>
          <t>A-39ddf4</t>
        </is>
      </c>
      <c r="B86" s="18" t="n">
        <v>45646</v>
      </c>
      <c r="C86" s="17" t="inlineStr">
        <is>
          <t>2 Assinatura iniciada</t>
        </is>
      </c>
      <c r="D86" s="17" t="inlineStr">
        <is>
          <t>S-404132 · Pro · anual · 40 seats</t>
        </is>
      </c>
      <c r="E86" s="17" t="inlineStr"/>
    </row>
    <row r="87">
      <c r="A87" s="17" t="inlineStr">
        <is>
          <t>A-39ddf4</t>
        </is>
      </c>
      <c r="B87" s="18" t="n">
        <v>45647</v>
      </c>
      <c r="C87" s="17" t="inlineStr">
        <is>
          <t>2 Assinatura iniciada</t>
        </is>
      </c>
      <c r="D87" s="17" t="inlineStr">
        <is>
          <t>S-df0314 · Pro · mensal · 40 seats</t>
        </is>
      </c>
      <c r="E87" s="17" t="inlineStr"/>
    </row>
    <row r="88">
      <c r="A88" s="17" t="inlineStr">
        <is>
          <t>A-39ddf4</t>
        </is>
      </c>
      <c r="B88" s="18" t="n">
        <v>45650</v>
      </c>
      <c r="C88" s="17" t="inlineStr">
        <is>
          <t>2 Assinatura iniciada</t>
        </is>
      </c>
      <c r="D88" s="17" t="inlineStr">
        <is>
          <t>S-c57c91 · Pro · mensal · 40 seats</t>
        </is>
      </c>
      <c r="E88" s="17" t="inlineStr"/>
    </row>
    <row r="89">
      <c r="A89" s="17" t="inlineStr">
        <is>
          <t>A-39ddf4</t>
        </is>
      </c>
      <c r="B89" s="18" t="n">
        <v>45652</v>
      </c>
      <c r="C89" s="17" t="inlineStr">
        <is>
          <t>2 Assinatura iniciada</t>
        </is>
      </c>
      <c r="D89" s="17" t="inlineStr">
        <is>
          <t>S-4c8ab8 · Pro · mensal · 40 seats</t>
        </is>
      </c>
      <c r="E89" s="17" t="inlineStr"/>
    </row>
    <row r="90">
      <c r="A90" s="17" t="inlineStr">
        <is>
          <t>A-39ddf4</t>
        </is>
      </c>
      <c r="B90" s="18" t="n">
        <v>45653</v>
      </c>
      <c r="C90" s="17" t="inlineStr">
        <is>
          <t>2 Assinatura iniciada</t>
        </is>
      </c>
      <c r="D90" s="17" t="inlineStr">
        <is>
          <t>S-d69e2c · Pro · anual · 40 seats</t>
        </is>
      </c>
      <c r="E90" s="17" t="inlineStr"/>
    </row>
    <row r="91">
      <c r="A91" s="17" t="inlineStr">
        <is>
          <t>A-39ddf4</t>
        </is>
      </c>
      <c r="B91" s="18" t="n">
        <v>45655</v>
      </c>
      <c r="C91" s="17" t="inlineStr">
        <is>
          <t>2 Assinatura iniciada</t>
        </is>
      </c>
      <c r="D91" s="17" t="inlineStr">
        <is>
          <t>S-96383d · Enterprise · anual · 40 seats</t>
        </is>
      </c>
      <c r="E91" s="17" t="inlineStr"/>
    </row>
    <row r="92">
      <c r="A92" s="17" t="inlineStr">
        <is>
          <t>A-39ddf4</t>
        </is>
      </c>
      <c r="B92" s="18" t="n">
        <v>45655</v>
      </c>
      <c r="C92" s="17" t="inlineStr">
        <is>
          <t>3 Assinatura encerrada</t>
        </is>
      </c>
      <c r="D92" s="17" t="inlineStr">
        <is>
          <t>S-404132 · Pro · anual · 40 seats · 9 dias de vida</t>
        </is>
      </c>
      <c r="E92" s="17" t="inlineStr">
        <is>
          <t>Cancelamento rápido</t>
        </is>
      </c>
    </row>
    <row r="93">
      <c r="A93" s="17" t="inlineStr">
        <is>
          <t>A-39ddf4</t>
        </is>
      </c>
      <c r="B93" s="18" t="n">
        <v>45656</v>
      </c>
      <c r="C93" s="17" t="inlineStr">
        <is>
          <t>2 Assinatura iniciada</t>
        </is>
      </c>
      <c r="D93" s="17" t="inlineStr">
        <is>
          <t>S-cdd281 · Enterprise · mensal · 40 seats</t>
        </is>
      </c>
      <c r="E93" s="17" t="inlineStr"/>
    </row>
    <row r="94">
      <c r="A94" s="17" t="inlineStr">
        <is>
          <t>A-4bfa33</t>
        </is>
      </c>
      <c r="B94" s="18" t="n">
        <v>45066</v>
      </c>
      <c r="C94" s="17" t="inlineStr">
        <is>
          <t>5 Ticket</t>
        </is>
      </c>
      <c r="D94" s="17" t="inlineStr">
        <is>
          <t>T-a594a0 · prioridade medium · satisfação 4</t>
        </is>
      </c>
      <c r="E94" s="17" t="inlineStr">
        <is>
          <t>Data ANTES do cadastro</t>
        </is>
      </c>
    </row>
    <row r="95">
      <c r="A95" s="17" t="inlineStr">
        <is>
          <t>A-4bfa33</t>
        </is>
      </c>
      <c r="B95" s="18" t="n">
        <v>45268</v>
      </c>
      <c r="C95" s="17" t="inlineStr">
        <is>
          <t>5 Ticket</t>
        </is>
      </c>
      <c r="D95" s="17" t="inlineStr">
        <is>
          <t>T-753ba1 · prioridade high</t>
        </is>
      </c>
      <c r="E95" s="17" t="inlineStr">
        <is>
          <t>Data ANTES do cadastro</t>
        </is>
      </c>
    </row>
    <row r="96">
      <c r="A96" s="17" t="inlineStr">
        <is>
          <t>A-4bfa33</t>
        </is>
      </c>
      <c r="B96" s="18" t="n">
        <v>45272</v>
      </c>
      <c r="C96" s="17" t="inlineStr">
        <is>
          <t>5 Ticket</t>
        </is>
      </c>
      <c r="D96" s="17" t="inlineStr">
        <is>
          <t>T-1f01f6 · prioridade urgent · satisfação 4</t>
        </is>
      </c>
      <c r="E96" s="17" t="inlineStr">
        <is>
          <t>Data ANTES do cadastro</t>
        </is>
      </c>
    </row>
    <row r="97">
      <c r="A97" s="17" t="inlineStr">
        <is>
          <t>A-4bfa33</t>
        </is>
      </c>
      <c r="B97" s="18" t="n">
        <v>45472</v>
      </c>
      <c r="C97" s="17" t="inlineStr">
        <is>
          <t>5 Ticket</t>
        </is>
      </c>
      <c r="D97" s="17" t="inlineStr">
        <is>
          <t>T-2c61f3 · prioridade high · satisfação 3</t>
        </is>
      </c>
      <c r="E97" s="17" t="inlineStr">
        <is>
          <t>Data ANTES do cadastro</t>
        </is>
      </c>
    </row>
    <row r="98">
      <c r="A98" s="17" t="inlineStr">
        <is>
          <t>A-4bfa33</t>
        </is>
      </c>
      <c r="B98" s="18" t="n">
        <v>45633</v>
      </c>
      <c r="C98" s="17" t="inlineStr">
        <is>
          <t>1 Cadastro da conta</t>
        </is>
      </c>
      <c r="D98" s="17" t="inlineStr">
        <is>
          <t>Cybersecurity · US · canal event · plano inicial Basic · 8 seats</t>
        </is>
      </c>
      <c r="E98" s="17" t="inlineStr"/>
    </row>
    <row r="99">
      <c r="A99" s="17" t="inlineStr">
        <is>
          <t>A-4bfa33</t>
        </is>
      </c>
      <c r="B99" s="18" t="n">
        <v>45634</v>
      </c>
      <c r="C99" s="17" t="inlineStr">
        <is>
          <t>4 Evento de churn</t>
        </is>
      </c>
      <c r="D99" s="17" t="inlineStr">
        <is>
          <t>motivo unknown · comentário: missing features</t>
        </is>
      </c>
      <c r="E99" s="17" t="inlineStr"/>
    </row>
    <row r="100">
      <c r="A100" s="17" t="inlineStr">
        <is>
          <t>A-4bfa33</t>
        </is>
      </c>
      <c r="B100" s="18" t="n">
        <v>45636</v>
      </c>
      <c r="C100" s="17" t="inlineStr">
        <is>
          <t>2 Assinatura iniciada</t>
        </is>
      </c>
      <c r="D100" s="17" t="inlineStr">
        <is>
          <t>S-f971ab · Pro · anual · 13 seats</t>
        </is>
      </c>
      <c r="E100" s="17" t="inlineStr"/>
    </row>
    <row r="101">
      <c r="A101" s="17" t="inlineStr">
        <is>
          <t>A-4bfa33</t>
        </is>
      </c>
      <c r="B101" s="18" t="n">
        <v>45638</v>
      </c>
      <c r="C101" s="17" t="inlineStr">
        <is>
          <t>2 Assinatura iniciada</t>
        </is>
      </c>
      <c r="D101" s="17" t="inlineStr">
        <is>
          <t>S-1da72c · Basic · mensal · 20 seats</t>
        </is>
      </c>
      <c r="E101" s="17" t="inlineStr"/>
    </row>
    <row r="102">
      <c r="A102" s="17" t="inlineStr">
        <is>
          <t>A-4bfa33</t>
        </is>
      </c>
      <c r="B102" s="18" t="n">
        <v>45638</v>
      </c>
      <c r="C102" s="17" t="inlineStr">
        <is>
          <t>2 Assinatura iniciada</t>
        </is>
      </c>
      <c r="D102" s="17" t="inlineStr">
        <is>
          <t>S-a9bfe0 · Pro · mensal · 9 seats</t>
        </is>
      </c>
      <c r="E102" s="17" t="inlineStr"/>
    </row>
    <row r="103">
      <c r="A103" s="17" t="inlineStr">
        <is>
          <t>A-4bfa33</t>
        </is>
      </c>
      <c r="B103" s="18" t="n">
        <v>45639</v>
      </c>
      <c r="C103" s="17" t="inlineStr">
        <is>
          <t>2 Assinatura iniciada</t>
        </is>
      </c>
      <c r="D103" s="17" t="inlineStr">
        <is>
          <t>S-0efc9b · Basic · mensal · 12 seats</t>
        </is>
      </c>
      <c r="E103" s="17" t="inlineStr"/>
    </row>
    <row r="104">
      <c r="A104" s="17" t="inlineStr">
        <is>
          <t>A-4bfa33</t>
        </is>
      </c>
      <c r="B104" s="18" t="n">
        <v>45645</v>
      </c>
      <c r="C104" s="17" t="inlineStr">
        <is>
          <t>2 Assinatura iniciada</t>
        </is>
      </c>
      <c r="D104" s="17" t="inlineStr">
        <is>
          <t>S-5c4b5d · Pro · anual · 8 seats</t>
        </is>
      </c>
      <c r="E104" s="17" t="inlineStr"/>
    </row>
    <row r="105">
      <c r="A105" s="17" t="inlineStr">
        <is>
          <t>A-4bfa33</t>
        </is>
      </c>
      <c r="B105" s="18" t="n">
        <v>45647</v>
      </c>
      <c r="C105" s="17" t="inlineStr">
        <is>
          <t>4 Evento de churn</t>
        </is>
      </c>
      <c r="D105" s="17" t="inlineStr">
        <is>
          <t>motivo budget · comentário: (sem comentário) · reembolso US$ 92.50</t>
        </is>
      </c>
      <c r="E105" s="17" t="inlineStr"/>
    </row>
    <row r="106">
      <c r="A106" s="17" t="inlineStr">
        <is>
          <t>A-4bfa33</t>
        </is>
      </c>
      <c r="B106" s="18" t="n">
        <v>45650</v>
      </c>
      <c r="C106" s="17" t="inlineStr">
        <is>
          <t>2 Assinatura iniciada</t>
        </is>
      </c>
      <c r="D106" s="17" t="inlineStr">
        <is>
          <t>S-70c369 · Pro · mensal · 72 seats</t>
        </is>
      </c>
      <c r="E106" s="17" t="inlineStr"/>
    </row>
    <row r="107">
      <c r="A107" s="17" t="inlineStr">
        <is>
          <t>A-4bfa33</t>
        </is>
      </c>
      <c r="B107" s="18" t="n">
        <v>45651</v>
      </c>
      <c r="C107" s="17" t="inlineStr">
        <is>
          <t>2 Assinatura iniciada</t>
        </is>
      </c>
      <c r="D107" s="17" t="inlineStr">
        <is>
          <t>S-b8daaa · Enterprise · anual · 8 seats · trial</t>
        </is>
      </c>
      <c r="E107" s="17" t="inlineStr"/>
    </row>
    <row r="108">
      <c r="A108" s="17" t="inlineStr">
        <is>
          <t>A-4bfa33</t>
        </is>
      </c>
      <c r="B108" s="18" t="n">
        <v>45654</v>
      </c>
      <c r="C108" s="17" t="inlineStr">
        <is>
          <t>4 Evento de churn</t>
        </is>
      </c>
      <c r="D108" s="17" t="inlineStr">
        <is>
          <t>motivo unknown · comentário: switched to competitor · reembolso US$ 7.26</t>
        </is>
      </c>
      <c r="E108" s="17" t="inlineStr"/>
    </row>
    <row r="109">
      <c r="A109" s="17" t="inlineStr">
        <is>
          <t>A-4bfa33</t>
        </is>
      </c>
      <c r="B109" s="18" t="n">
        <v>45655</v>
      </c>
      <c r="C109" s="17" t="inlineStr">
        <is>
          <t>3 Assinatura encerrada</t>
        </is>
      </c>
      <c r="D109" s="17" t="inlineStr">
        <is>
          <t>S-a9bfe0 · Pro · mensal · 9 seats · 17 dias de vida</t>
        </is>
      </c>
      <c r="E109" s="17" t="inlineStr">
        <is>
          <t>Cancelamento rápido</t>
        </is>
      </c>
    </row>
    <row r="110">
      <c r="A110" s="17" t="inlineStr">
        <is>
          <t>A-533452</t>
        </is>
      </c>
      <c r="B110" s="18" t="n">
        <v>45196</v>
      </c>
      <c r="C110" s="17" t="inlineStr">
        <is>
          <t>5 Ticket</t>
        </is>
      </c>
      <c r="D110" s="17" t="inlineStr">
        <is>
          <t>T-64b0b8 · prioridade low · satisfação 5</t>
        </is>
      </c>
      <c r="E110" s="17" t="inlineStr">
        <is>
          <t>Data ANTES do cadastro</t>
        </is>
      </c>
    </row>
    <row r="111">
      <c r="A111" s="17" t="inlineStr">
        <is>
          <t>A-533452</t>
        </is>
      </c>
      <c r="B111" s="18" t="n">
        <v>45225</v>
      </c>
      <c r="C111" s="17" t="inlineStr">
        <is>
          <t>5 Ticket</t>
        </is>
      </c>
      <c r="D111" s="17" t="inlineStr">
        <is>
          <t>T-2a2ecd · prioridade medium</t>
        </is>
      </c>
      <c r="E111" s="17" t="inlineStr">
        <is>
          <t>Data ANTES do cadastro</t>
        </is>
      </c>
    </row>
    <row r="112">
      <c r="A112" s="17" t="inlineStr">
        <is>
          <t>A-533452</t>
        </is>
      </c>
      <c r="B112" s="18" t="n">
        <v>45500</v>
      </c>
      <c r="C112" s="17" t="inlineStr">
        <is>
          <t>5 Ticket</t>
        </is>
      </c>
      <c r="D112" s="17" t="inlineStr">
        <is>
          <t>T-ce367c · prioridade urgent</t>
        </is>
      </c>
      <c r="E112" s="17" t="inlineStr">
        <is>
          <t>Data ANTES do cadastro</t>
        </is>
      </c>
    </row>
    <row r="113">
      <c r="A113" s="17" t="inlineStr">
        <is>
          <t>A-533452</t>
        </is>
      </c>
      <c r="B113" s="18" t="n">
        <v>45509</v>
      </c>
      <c r="C113" s="17" t="inlineStr">
        <is>
          <t>5 Ticket</t>
        </is>
      </c>
      <c r="D113" s="17" t="inlineStr">
        <is>
          <t>T-22842d · prioridade high · satisfação 3</t>
        </is>
      </c>
      <c r="E113" s="17" t="inlineStr">
        <is>
          <t>Data ANTES do cadastro</t>
        </is>
      </c>
    </row>
    <row r="114">
      <c r="A114" s="17" t="inlineStr">
        <is>
          <t>A-533452</t>
        </is>
      </c>
      <c r="B114" s="18" t="n">
        <v>45608</v>
      </c>
      <c r="C114" s="17" t="inlineStr">
        <is>
          <t>1 Cadastro da conta</t>
        </is>
      </c>
      <c r="D114" s="17" t="inlineStr">
        <is>
          <t>DevTools · AU · canal organic · plano inicial Pro · 9 seats</t>
        </is>
      </c>
      <c r="E114" s="17" t="inlineStr"/>
    </row>
    <row r="115">
      <c r="A115" s="17" t="inlineStr">
        <is>
          <t>A-533452</t>
        </is>
      </c>
      <c r="B115" s="18" t="n">
        <v>45613</v>
      </c>
      <c r="C115" s="17" t="inlineStr">
        <is>
          <t>4 Evento de churn</t>
        </is>
      </c>
      <c r="D115" s="17" t="inlineStr">
        <is>
          <t>motivo features · comentário: missing features</t>
        </is>
      </c>
      <c r="E115" s="17" t="inlineStr"/>
    </row>
    <row r="116">
      <c r="A116" s="17" t="inlineStr">
        <is>
          <t>A-533452</t>
        </is>
      </c>
      <c r="B116" s="18" t="n">
        <v>45615</v>
      </c>
      <c r="C116" s="17" t="inlineStr">
        <is>
          <t>4 Evento de churn</t>
        </is>
      </c>
      <c r="D116" s="17" t="inlineStr">
        <is>
          <t>motivo features · comentário: (sem comentário)</t>
        </is>
      </c>
      <c r="E116" s="17" t="inlineStr"/>
    </row>
    <row r="117">
      <c r="A117" s="17" t="inlineStr">
        <is>
          <t>A-533452</t>
        </is>
      </c>
      <c r="B117" s="18" t="n">
        <v>45617</v>
      </c>
      <c r="C117" s="17" t="inlineStr">
        <is>
          <t>2 Assinatura iniciada</t>
        </is>
      </c>
      <c r="D117" s="17" t="inlineStr">
        <is>
          <t>S-ed7a72 · Pro · mensal · 25 seats</t>
        </is>
      </c>
      <c r="E117" s="17" t="inlineStr"/>
    </row>
    <row r="118">
      <c r="A118" s="17" t="inlineStr">
        <is>
          <t>A-533452</t>
        </is>
      </c>
      <c r="B118" s="18" t="n">
        <v>45619</v>
      </c>
      <c r="C118" s="17" t="inlineStr">
        <is>
          <t>2 Assinatura iniciada</t>
        </is>
      </c>
      <c r="D118" s="17" t="inlineStr">
        <is>
          <t>S-9bf16e · Pro · mensal · 9 seats</t>
        </is>
      </c>
      <c r="E118" s="17" t="inlineStr"/>
    </row>
    <row r="119">
      <c r="A119" s="17" t="inlineStr">
        <is>
          <t>A-533452</t>
        </is>
      </c>
      <c r="B119" s="18" t="n">
        <v>45620</v>
      </c>
      <c r="C119" s="17" t="inlineStr">
        <is>
          <t>2 Assinatura iniciada</t>
        </is>
      </c>
      <c r="D119" s="17" t="inlineStr">
        <is>
          <t>S-4c2f78 · Pro · mensal · 51 seats</t>
        </is>
      </c>
      <c r="E119" s="17" t="inlineStr"/>
    </row>
    <row r="120">
      <c r="A120" s="17" t="inlineStr">
        <is>
          <t>A-533452</t>
        </is>
      </c>
      <c r="B120" s="18" t="n">
        <v>45621</v>
      </c>
      <c r="C120" s="17" t="inlineStr">
        <is>
          <t>2 Assinatura iniciada</t>
        </is>
      </c>
      <c r="D120" s="17" t="inlineStr">
        <is>
          <t>S-d97c5f · Pro · mensal · 101 seats</t>
        </is>
      </c>
      <c r="E120" s="17" t="inlineStr"/>
    </row>
    <row r="121">
      <c r="A121" s="17" t="inlineStr">
        <is>
          <t>A-533452</t>
        </is>
      </c>
      <c r="B121" s="18" t="n">
        <v>45623</v>
      </c>
      <c r="C121" s="17" t="inlineStr">
        <is>
          <t>2 Assinatura iniciada</t>
        </is>
      </c>
      <c r="D121" s="17" t="inlineStr">
        <is>
          <t>S-ac01fb · Enterprise · anual · 14 seats · trial</t>
        </is>
      </c>
      <c r="E121" s="17" t="inlineStr"/>
    </row>
    <row r="122">
      <c r="A122" s="17" t="inlineStr">
        <is>
          <t>A-533452</t>
        </is>
      </c>
      <c r="B122" s="18" t="n">
        <v>45624</v>
      </c>
      <c r="C122" s="17" t="inlineStr">
        <is>
          <t>2 Assinatura iniciada</t>
        </is>
      </c>
      <c r="D122" s="17" t="inlineStr">
        <is>
          <t>S-38b3b4 · Enterprise · anual · 26 seats</t>
        </is>
      </c>
      <c r="E122" s="17" t="inlineStr"/>
    </row>
    <row r="123">
      <c r="A123" s="17" t="inlineStr">
        <is>
          <t>A-533452</t>
        </is>
      </c>
      <c r="B123" s="18" t="n">
        <v>45624</v>
      </c>
      <c r="C123" s="17" t="inlineStr">
        <is>
          <t>2 Assinatura iniciada</t>
        </is>
      </c>
      <c r="D123" s="17" t="inlineStr">
        <is>
          <t>S-11d922 · Enterprise · mensal · 15 seats</t>
        </is>
      </c>
      <c r="E123" s="17" t="inlineStr"/>
    </row>
    <row r="124">
      <c r="A124" s="17" t="inlineStr">
        <is>
          <t>A-533452</t>
        </is>
      </c>
      <c r="B124" s="18" t="n">
        <v>45627</v>
      </c>
      <c r="C124" s="17" t="inlineStr">
        <is>
          <t>4 Evento de churn</t>
        </is>
      </c>
      <c r="D124" s="17" t="inlineStr">
        <is>
          <t>motivo pricing · comentário: missing features · reembolso US$ 132.32</t>
        </is>
      </c>
      <c r="E124" s="17" t="inlineStr"/>
    </row>
    <row r="125">
      <c r="A125" s="17" t="inlineStr">
        <is>
          <t>A-533452</t>
        </is>
      </c>
      <c r="B125" s="18" t="n">
        <v>45641</v>
      </c>
      <c r="C125" s="17" t="inlineStr">
        <is>
          <t>2 Assinatura iniciada</t>
        </is>
      </c>
      <c r="D125" s="17" t="inlineStr">
        <is>
          <t>S-8ececc · Pro · anual · 9 seats</t>
        </is>
      </c>
      <c r="E125" s="17" t="inlineStr"/>
    </row>
    <row r="126">
      <c r="A126" s="17" t="inlineStr">
        <is>
          <t>A-533452</t>
        </is>
      </c>
      <c r="B126" s="18" t="n">
        <v>45642</v>
      </c>
      <c r="C126" s="17" t="inlineStr">
        <is>
          <t>2 Assinatura iniciada</t>
        </is>
      </c>
      <c r="D126" s="17" t="inlineStr">
        <is>
          <t>S-5daabf · Enterprise · mensal · 9 seats</t>
        </is>
      </c>
      <c r="E126" s="17" t="inlineStr"/>
    </row>
    <row r="127">
      <c r="A127" s="17" t="inlineStr">
        <is>
          <t>A-533452</t>
        </is>
      </c>
      <c r="B127" s="18" t="n">
        <v>45642</v>
      </c>
      <c r="C127" s="17" t="inlineStr">
        <is>
          <t>4 Evento de churn</t>
        </is>
      </c>
      <c r="D127" s="17" t="inlineStr">
        <is>
          <t>motivo support · comentário: missing features · reembolso US$ 15.23</t>
        </is>
      </c>
      <c r="E127" s="17" t="inlineStr"/>
    </row>
    <row r="128">
      <c r="A128" s="17" t="inlineStr">
        <is>
          <t>A-533452</t>
        </is>
      </c>
      <c r="B128" s="18" t="n">
        <v>45644</v>
      </c>
      <c r="C128" s="17" t="inlineStr">
        <is>
          <t>2 Assinatura iniciada</t>
        </is>
      </c>
      <c r="D128" s="17" t="inlineStr">
        <is>
          <t>S-151b22 · Basic · anual · 9 seats</t>
        </is>
      </c>
      <c r="E128" s="17" t="inlineStr"/>
    </row>
    <row r="129">
      <c r="A129" s="17" t="inlineStr">
        <is>
          <t>A-533452</t>
        </is>
      </c>
      <c r="B129" s="18" t="n">
        <v>45646</v>
      </c>
      <c r="C129" s="17" t="inlineStr">
        <is>
          <t>3 Assinatura encerrada</t>
        </is>
      </c>
      <c r="D129" s="17" t="inlineStr">
        <is>
          <t>S-9bf16e · Pro · mensal · 9 seats · 27 dias de vida</t>
        </is>
      </c>
      <c r="E129" s="17" t="inlineStr">
        <is>
          <t>Cancelamento rápido</t>
        </is>
      </c>
    </row>
    <row r="130">
      <c r="A130" s="17" t="inlineStr">
        <is>
          <t>A-533452</t>
        </is>
      </c>
      <c r="B130" s="18" t="n">
        <v>45651</v>
      </c>
      <c r="C130" s="17" t="inlineStr">
        <is>
          <t>2 Assinatura iniciada</t>
        </is>
      </c>
      <c r="D130" s="17" t="inlineStr">
        <is>
          <t>S-8deb5f · Basic · anual · 52 seats</t>
        </is>
      </c>
      <c r="E130" s="17" t="inlineStr"/>
    </row>
    <row r="131">
      <c r="A131" s="17" t="inlineStr">
        <is>
          <t>A-5790f4</t>
        </is>
      </c>
      <c r="B131" s="18" t="n">
        <v>45159</v>
      </c>
      <c r="C131" s="17" t="inlineStr">
        <is>
          <t>5 Ticket</t>
        </is>
      </c>
      <c r="D131" s="17" t="inlineStr">
        <is>
          <t>T-1e8229 · prioridade medium</t>
        </is>
      </c>
      <c r="E131" s="17" t="inlineStr">
        <is>
          <t>Data ANTES do cadastro</t>
        </is>
      </c>
    </row>
    <row r="132">
      <c r="A132" s="17" t="inlineStr">
        <is>
          <t>A-5790f4</t>
        </is>
      </c>
      <c r="B132" s="18" t="n">
        <v>45343</v>
      </c>
      <c r="C132" s="17" t="inlineStr">
        <is>
          <t>5 Ticket</t>
        </is>
      </c>
      <c r="D132" s="17" t="inlineStr">
        <is>
          <t>T-578a17 · prioridade low · escalado</t>
        </is>
      </c>
      <c r="E132" s="17" t="inlineStr">
        <is>
          <t>Data ANTES do cadastro</t>
        </is>
      </c>
    </row>
    <row r="133">
      <c r="A133" s="17" t="inlineStr">
        <is>
          <t>A-5790f4</t>
        </is>
      </c>
      <c r="B133" s="18" t="n">
        <v>45480</v>
      </c>
      <c r="C133" s="17" t="inlineStr">
        <is>
          <t>5 Ticket</t>
        </is>
      </c>
      <c r="D133" s="17" t="inlineStr">
        <is>
          <t>T-98be51 · prioridade medium · satisfação 4</t>
        </is>
      </c>
      <c r="E133" s="17" t="inlineStr">
        <is>
          <t>Data ANTES do cadastro</t>
        </is>
      </c>
    </row>
    <row r="134">
      <c r="A134" s="17" t="inlineStr">
        <is>
          <t>A-5790f4</t>
        </is>
      </c>
      <c r="B134" s="18" t="n">
        <v>45584</v>
      </c>
      <c r="C134" s="17" t="inlineStr">
        <is>
          <t>5 Ticket</t>
        </is>
      </c>
      <c r="D134" s="17" t="inlineStr">
        <is>
          <t>T-cc9f02 · prioridade urgent</t>
        </is>
      </c>
      <c r="E134" s="17" t="inlineStr">
        <is>
          <t>Data ANTES do cadastro</t>
        </is>
      </c>
    </row>
    <row r="135">
      <c r="A135" s="17" t="inlineStr">
        <is>
          <t>A-5790f4</t>
        </is>
      </c>
      <c r="B135" s="18" t="n">
        <v>45648</v>
      </c>
      <c r="C135" s="17" t="inlineStr">
        <is>
          <t>1 Cadastro da conta</t>
        </is>
      </c>
      <c r="D135" s="17" t="inlineStr">
        <is>
          <t>FinTech · UK · canal event · plano inicial Pro · 1 seats</t>
        </is>
      </c>
      <c r="E135" s="17" t="inlineStr"/>
    </row>
    <row r="136">
      <c r="A136" s="17" t="inlineStr">
        <is>
          <t>A-5790f4</t>
        </is>
      </c>
      <c r="B136" s="18" t="n">
        <v>45648</v>
      </c>
      <c r="C136" s="17" t="inlineStr">
        <is>
          <t>2 Assinatura iniciada</t>
        </is>
      </c>
      <c r="D136" s="17" t="inlineStr">
        <is>
          <t>S-ae4310 · Pro · mensal · 20 seats · trial</t>
        </is>
      </c>
      <c r="E136" s="17" t="inlineStr"/>
    </row>
    <row r="137">
      <c r="A137" s="17" t="inlineStr">
        <is>
          <t>A-5790f4</t>
        </is>
      </c>
      <c r="B137" s="18" t="n">
        <v>45649</v>
      </c>
      <c r="C137" s="17" t="inlineStr">
        <is>
          <t>2 Assinatura iniciada</t>
        </is>
      </c>
      <c r="D137" s="17" t="inlineStr">
        <is>
          <t>S-3dc46b · Pro · mensal · 12 seats</t>
        </is>
      </c>
      <c r="E137" s="17" t="inlineStr"/>
    </row>
    <row r="138">
      <c r="A138" s="17" t="inlineStr">
        <is>
          <t>A-5790f4</t>
        </is>
      </c>
      <c r="B138" s="18" t="n">
        <v>45650</v>
      </c>
      <c r="C138" s="17" t="inlineStr">
        <is>
          <t>2 Assinatura iniciada</t>
        </is>
      </c>
      <c r="D138" s="17" t="inlineStr">
        <is>
          <t>S-8f181e · Enterprise · anual · 18 seats</t>
        </is>
      </c>
      <c r="E138" s="17" t="inlineStr"/>
    </row>
    <row r="139">
      <c r="A139" s="17" t="inlineStr">
        <is>
          <t>A-5790f4</t>
        </is>
      </c>
      <c r="B139" s="18" t="n">
        <v>45651</v>
      </c>
      <c r="C139" s="17" t="inlineStr">
        <is>
          <t>2 Assinatura iniciada</t>
        </is>
      </c>
      <c r="D139" s="17" t="inlineStr">
        <is>
          <t>S-a7da97 · Enterprise · anual · 63 seats</t>
        </is>
      </c>
      <c r="E139" s="17" t="inlineStr"/>
    </row>
    <row r="140">
      <c r="A140" s="17" t="inlineStr">
        <is>
          <t>A-5790f4</t>
        </is>
      </c>
      <c r="B140" s="18" t="n">
        <v>45651</v>
      </c>
      <c r="C140" s="17" t="inlineStr">
        <is>
          <t>4 Evento de churn</t>
        </is>
      </c>
      <c r="D140" s="17" t="inlineStr">
        <is>
          <t>motivo features · comentário: switched to competitor · reembolso US$ 392.92</t>
        </is>
      </c>
      <c r="E140" s="17" t="inlineStr"/>
    </row>
    <row r="141">
      <c r="A141" s="17" t="inlineStr">
        <is>
          <t>A-5790f4</t>
        </is>
      </c>
      <c r="B141" s="18" t="n">
        <v>45652</v>
      </c>
      <c r="C141" s="17" t="inlineStr">
        <is>
          <t>2 Assinatura iniciada</t>
        </is>
      </c>
      <c r="D141" s="17" t="inlineStr">
        <is>
          <t>S-eabe72 · Basic · mensal · 33 seats</t>
        </is>
      </c>
      <c r="E141" s="17" t="inlineStr"/>
    </row>
    <row r="142">
      <c r="A142" s="17" t="inlineStr">
        <is>
          <t>A-5790f4</t>
        </is>
      </c>
      <c r="B142" s="18" t="n">
        <v>45652</v>
      </c>
      <c r="C142" s="17" t="inlineStr">
        <is>
          <t>2 Assinatura iniciada</t>
        </is>
      </c>
      <c r="D142" s="17" t="inlineStr">
        <is>
          <t>S-826d19 · Enterprise · anual · 8 seats</t>
        </is>
      </c>
      <c r="E142" s="17" t="inlineStr"/>
    </row>
    <row r="143">
      <c r="A143" s="17" t="inlineStr">
        <is>
          <t>A-5790f4</t>
        </is>
      </c>
      <c r="B143" s="18" t="n">
        <v>45652</v>
      </c>
      <c r="C143" s="17" t="inlineStr">
        <is>
          <t>4 Evento de churn</t>
        </is>
      </c>
      <c r="D143" s="17" t="inlineStr">
        <is>
          <t>motivo support · comentário: too expensive · reembolso US$ 51.18</t>
        </is>
      </c>
      <c r="E143" s="17" t="inlineStr"/>
    </row>
    <row r="144">
      <c r="A144" s="17" t="inlineStr">
        <is>
          <t>A-5790f4</t>
        </is>
      </c>
      <c r="B144" s="18" t="n">
        <v>45655</v>
      </c>
      <c r="C144" s="17" t="inlineStr">
        <is>
          <t>3 Assinatura encerrada</t>
        </is>
      </c>
      <c r="D144" s="17" t="inlineStr">
        <is>
          <t>S-826d19 · Enterprise · anual · 8 seats · 3 dias de vida</t>
        </is>
      </c>
      <c r="E144" s="17" t="inlineStr">
        <is>
          <t>Cancelamento rápido</t>
        </is>
      </c>
    </row>
    <row r="145">
      <c r="A145" s="17" t="inlineStr">
        <is>
          <t>A-5790f4</t>
        </is>
      </c>
      <c r="B145" s="18" t="n">
        <v>45657</v>
      </c>
      <c r="C145" s="17" t="inlineStr">
        <is>
          <t>4 Evento de churn</t>
        </is>
      </c>
      <c r="D145" s="17" t="inlineStr">
        <is>
          <t>motivo competitor · comentário: too expensive</t>
        </is>
      </c>
      <c r="E145" s="17" t="inlineStr"/>
    </row>
    <row r="146">
      <c r="A146" s="17" t="inlineStr">
        <is>
          <t>A-5c9849</t>
        </is>
      </c>
      <c r="B146" s="18" t="n">
        <v>45122</v>
      </c>
      <c r="C146" s="17" t="inlineStr">
        <is>
          <t>5 Ticket</t>
        </is>
      </c>
      <c r="D146" s="17" t="inlineStr">
        <is>
          <t>T-34025b · prioridade urgent</t>
        </is>
      </c>
      <c r="E146" s="17" t="inlineStr">
        <is>
          <t>Data ANTES do cadastro</t>
        </is>
      </c>
    </row>
    <row r="147">
      <c r="A147" s="17" t="inlineStr">
        <is>
          <t>A-5c9849</t>
        </is>
      </c>
      <c r="B147" s="18" t="n">
        <v>45267</v>
      </c>
      <c r="C147" s="17" t="inlineStr">
        <is>
          <t>5 Ticket</t>
        </is>
      </c>
      <c r="D147" s="17" t="inlineStr">
        <is>
          <t>T-534a33 · prioridade low · escalado</t>
        </is>
      </c>
      <c r="E147" s="17" t="inlineStr">
        <is>
          <t>Data ANTES do cadastro</t>
        </is>
      </c>
    </row>
    <row r="148">
      <c r="A148" s="17" t="inlineStr">
        <is>
          <t>A-5c9849</t>
        </is>
      </c>
      <c r="B148" s="18" t="n">
        <v>45274</v>
      </c>
      <c r="C148" s="17" t="inlineStr">
        <is>
          <t>5 Ticket</t>
        </is>
      </c>
      <c r="D148" s="17" t="inlineStr">
        <is>
          <t>T-38a3f8 · prioridade low</t>
        </is>
      </c>
      <c r="E148" s="17" t="inlineStr">
        <is>
          <t>Data ANTES do cadastro</t>
        </is>
      </c>
    </row>
    <row r="149">
      <c r="A149" s="17" t="inlineStr">
        <is>
          <t>A-5c9849</t>
        </is>
      </c>
      <c r="B149" s="18" t="n">
        <v>45322</v>
      </c>
      <c r="C149" s="17" t="inlineStr">
        <is>
          <t>5 Ticket</t>
        </is>
      </c>
      <c r="D149" s="17" t="inlineStr">
        <is>
          <t>T-3830ca · prioridade urgent</t>
        </is>
      </c>
      <c r="E149" s="17" t="inlineStr">
        <is>
          <t>Data ANTES do cadastro</t>
        </is>
      </c>
    </row>
    <row r="150">
      <c r="A150" s="17" t="inlineStr">
        <is>
          <t>A-5c9849</t>
        </is>
      </c>
      <c r="B150" s="18" t="n">
        <v>45599</v>
      </c>
      <c r="C150" s="17" t="inlineStr">
        <is>
          <t>1 Cadastro da conta</t>
        </is>
      </c>
      <c r="D150" s="17" t="inlineStr">
        <is>
          <t>EdTech · IN · canal partner · plano inicial Basic · 19 seats</t>
        </is>
      </c>
      <c r="E150" s="17" t="inlineStr"/>
    </row>
    <row r="151">
      <c r="A151" s="17" t="inlineStr">
        <is>
          <t>A-5c9849</t>
        </is>
      </c>
      <c r="B151" s="18" t="n">
        <v>45606</v>
      </c>
      <c r="C151" s="17" t="inlineStr">
        <is>
          <t>2 Assinatura iniciada</t>
        </is>
      </c>
      <c r="D151" s="17" t="inlineStr">
        <is>
          <t>S-e740b4 · Basic · mensal · 65 seats</t>
        </is>
      </c>
      <c r="E151" s="17" t="inlineStr"/>
    </row>
    <row r="152">
      <c r="A152" s="17" t="inlineStr">
        <is>
          <t>A-5c9849</t>
        </is>
      </c>
      <c r="B152" s="18" t="n">
        <v>45607</v>
      </c>
      <c r="C152" s="17" t="inlineStr">
        <is>
          <t>2 Assinatura iniciada</t>
        </is>
      </c>
      <c r="D152" s="17" t="inlineStr">
        <is>
          <t>S-fe6311 · Enterprise · mensal · 19 seats · trial</t>
        </is>
      </c>
      <c r="E152" s="17" t="inlineStr"/>
    </row>
    <row r="153">
      <c r="A153" s="17" t="inlineStr">
        <is>
          <t>A-5c9849</t>
        </is>
      </c>
      <c r="B153" s="18" t="n">
        <v>45608</v>
      </c>
      <c r="C153" s="17" t="inlineStr">
        <is>
          <t>2 Assinatura iniciada</t>
        </is>
      </c>
      <c r="D153" s="17" t="inlineStr">
        <is>
          <t>S-d3faae · Basic · mensal · 19 seats</t>
        </is>
      </c>
      <c r="E153" s="17" t="inlineStr"/>
    </row>
    <row r="154">
      <c r="A154" s="17" t="inlineStr">
        <is>
          <t>A-5c9849</t>
        </is>
      </c>
      <c r="B154" s="18" t="n">
        <v>45609</v>
      </c>
      <c r="C154" s="17" t="inlineStr">
        <is>
          <t>4 Evento de churn</t>
        </is>
      </c>
      <c r="D154" s="17" t="inlineStr">
        <is>
          <t>motivo unknown · comentário: too expensive</t>
        </is>
      </c>
      <c r="E154" s="17" t="inlineStr"/>
    </row>
    <row r="155">
      <c r="A155" s="17" t="inlineStr">
        <is>
          <t>A-5c9849</t>
        </is>
      </c>
      <c r="B155" s="18" t="n">
        <v>45626</v>
      </c>
      <c r="C155" s="17" t="inlineStr">
        <is>
          <t>2 Assinatura iniciada</t>
        </is>
      </c>
      <c r="D155" s="17" t="inlineStr">
        <is>
          <t>S-771f7b · Enterprise · anual · 62 seats</t>
        </is>
      </c>
      <c r="E155" s="17" t="inlineStr"/>
    </row>
    <row r="156">
      <c r="A156" s="17" t="inlineStr">
        <is>
          <t>A-5c9849</t>
        </is>
      </c>
      <c r="B156" s="18" t="n">
        <v>45627</v>
      </c>
      <c r="C156" s="17" t="inlineStr">
        <is>
          <t>2 Assinatura iniciada</t>
        </is>
      </c>
      <c r="D156" s="17" t="inlineStr">
        <is>
          <t>S-6bd30a · Enterprise · mensal · 91 seats</t>
        </is>
      </c>
      <c r="E156" s="17" t="inlineStr"/>
    </row>
    <row r="157">
      <c r="A157" s="17" t="inlineStr">
        <is>
          <t>A-5c9849</t>
        </is>
      </c>
      <c r="B157" s="18" t="n">
        <v>45629</v>
      </c>
      <c r="C157" s="17" t="inlineStr">
        <is>
          <t>2 Assinatura iniciada</t>
        </is>
      </c>
      <c r="D157" s="17" t="inlineStr">
        <is>
          <t>S-c0127d · Enterprise · mensal · 19 seats · trial</t>
        </is>
      </c>
      <c r="E157" s="17" t="inlineStr"/>
    </row>
    <row r="158">
      <c r="A158" s="17" t="inlineStr">
        <is>
          <t>A-5c9849</t>
        </is>
      </c>
      <c r="B158" s="18" t="n">
        <v>45630</v>
      </c>
      <c r="C158" s="17" t="inlineStr">
        <is>
          <t>2 Assinatura iniciada</t>
        </is>
      </c>
      <c r="D158" s="17" t="inlineStr">
        <is>
          <t>S-a3dc1e · Enterprise · mensal · 19 seats · trial</t>
        </is>
      </c>
      <c r="E158" s="17" t="inlineStr"/>
    </row>
    <row r="159">
      <c r="A159" s="17" t="inlineStr">
        <is>
          <t>A-5c9849</t>
        </is>
      </c>
      <c r="B159" s="18" t="n">
        <v>45636</v>
      </c>
      <c r="C159" s="17" t="inlineStr">
        <is>
          <t>2 Assinatura iniciada</t>
        </is>
      </c>
      <c r="D159" s="17" t="inlineStr">
        <is>
          <t>S-a1901c · Enterprise · mensal · 19 seats</t>
        </is>
      </c>
      <c r="E159" s="17" t="inlineStr"/>
    </row>
    <row r="160">
      <c r="A160" s="17" t="inlineStr">
        <is>
          <t>A-5c9849</t>
        </is>
      </c>
      <c r="B160" s="18" t="n">
        <v>45642</v>
      </c>
      <c r="C160" s="17" t="inlineStr">
        <is>
          <t>3 Assinatura encerrada</t>
        </is>
      </c>
      <c r="D160" s="17" t="inlineStr">
        <is>
          <t>S-6bd30a · Enterprise · mensal · 91 seats · 15 dias de vida</t>
        </is>
      </c>
      <c r="E160" s="17" t="inlineStr">
        <is>
          <t>Cancelamento rápido</t>
        </is>
      </c>
    </row>
    <row r="161">
      <c r="A161" s="17" t="inlineStr">
        <is>
          <t>A-5c9849</t>
        </is>
      </c>
      <c r="B161" s="18" t="n">
        <v>45656</v>
      </c>
      <c r="C161" s="17" t="inlineStr">
        <is>
          <t>2 Assinatura iniciada</t>
        </is>
      </c>
      <c r="D161" s="17" t="inlineStr">
        <is>
          <t>S-240a09 · Pro · mensal · 19 seats</t>
        </is>
      </c>
      <c r="E161" s="17" t="inlineStr"/>
    </row>
    <row r="162">
      <c r="A162" s="17" t="inlineStr">
        <is>
          <t>A-6a7c9d</t>
        </is>
      </c>
      <c r="B162" s="18" t="n">
        <v>44994</v>
      </c>
      <c r="C162" s="17" t="inlineStr">
        <is>
          <t>5 Ticket</t>
        </is>
      </c>
      <c r="D162" s="17" t="inlineStr">
        <is>
          <t>T-36db9a · prioridade high · satisfação 5</t>
        </is>
      </c>
      <c r="E162" s="17" t="inlineStr">
        <is>
          <t>Data ANTES do cadastro</t>
        </is>
      </c>
    </row>
    <row r="163">
      <c r="A163" s="17" t="inlineStr">
        <is>
          <t>A-6a7c9d</t>
        </is>
      </c>
      <c r="B163" s="18" t="n">
        <v>45409</v>
      </c>
      <c r="C163" s="17" t="inlineStr">
        <is>
          <t>5 Ticket</t>
        </is>
      </c>
      <c r="D163" s="17" t="inlineStr">
        <is>
          <t>T-a32dd4 · prioridade high</t>
        </is>
      </c>
      <c r="E163" s="17" t="inlineStr">
        <is>
          <t>Data ANTES do cadastro</t>
        </is>
      </c>
    </row>
    <row r="164">
      <c r="A164" s="17" t="inlineStr">
        <is>
          <t>A-6a7c9d</t>
        </is>
      </c>
      <c r="B164" s="18" t="n">
        <v>45519</v>
      </c>
      <c r="C164" s="17" t="inlineStr">
        <is>
          <t>5 Ticket</t>
        </is>
      </c>
      <c r="D164" s="17" t="inlineStr">
        <is>
          <t>T-990f20 · prioridade medium · satisfação 3</t>
        </is>
      </c>
      <c r="E164" s="17" t="inlineStr">
        <is>
          <t>Data ANTES do cadastro</t>
        </is>
      </c>
    </row>
    <row r="165">
      <c r="A165" s="17" t="inlineStr">
        <is>
          <t>A-6a7c9d</t>
        </is>
      </c>
      <c r="B165" s="18" t="n">
        <v>45589</v>
      </c>
      <c r="C165" s="17" t="inlineStr">
        <is>
          <t>1 Cadastro da conta</t>
        </is>
      </c>
      <c r="D165" s="17" t="inlineStr">
        <is>
          <t>Cybersecurity · US · canal organic · plano inicial Enterprise · 26 seats</t>
        </is>
      </c>
      <c r="E165" s="17" t="inlineStr"/>
    </row>
    <row r="166">
      <c r="A166" s="17" t="inlineStr">
        <is>
          <t>A-6a7c9d</t>
        </is>
      </c>
      <c r="B166" s="18" t="n">
        <v>45608</v>
      </c>
      <c r="C166" s="17" t="inlineStr">
        <is>
          <t>2 Assinatura iniciada</t>
        </is>
      </c>
      <c r="D166" s="17" t="inlineStr">
        <is>
          <t>S-b3cae6 · Enterprise · mensal · 26 seats</t>
        </is>
      </c>
      <c r="E166" s="17" t="inlineStr"/>
    </row>
    <row r="167">
      <c r="A167" s="17" t="inlineStr">
        <is>
          <t>A-6a7c9d</t>
        </is>
      </c>
      <c r="B167" s="18" t="n">
        <v>45611</v>
      </c>
      <c r="C167" s="17" t="inlineStr">
        <is>
          <t>4 Evento de churn</t>
        </is>
      </c>
      <c r="D167" s="17" t="inlineStr">
        <is>
          <t>motivo features · comentário: missing features · reembolso US$ 178.84</t>
        </is>
      </c>
      <c r="E167" s="17" t="inlineStr"/>
    </row>
    <row r="168">
      <c r="A168" s="17" t="inlineStr">
        <is>
          <t>A-6a7c9d</t>
        </is>
      </c>
      <c r="B168" s="18" t="n">
        <v>45617</v>
      </c>
      <c r="C168" s="17" t="inlineStr">
        <is>
          <t>4 Evento de churn</t>
        </is>
      </c>
      <c r="D168" s="17" t="inlineStr">
        <is>
          <t>motivo support · comentário: too expensive</t>
        </is>
      </c>
      <c r="E168" s="17" t="inlineStr"/>
    </row>
    <row r="169">
      <c r="A169" s="17" t="inlineStr">
        <is>
          <t>A-6a7c9d</t>
        </is>
      </c>
      <c r="B169" s="18" t="n">
        <v>45625</v>
      </c>
      <c r="C169" s="17" t="inlineStr">
        <is>
          <t>2 Assinatura iniciada</t>
        </is>
      </c>
      <c r="D169" s="17" t="inlineStr">
        <is>
          <t>S-a0a5e3 · Enterprise · mensal · 26 seats</t>
        </is>
      </c>
      <c r="E169" s="17" t="inlineStr"/>
    </row>
    <row r="170">
      <c r="A170" s="17" t="inlineStr">
        <is>
          <t>A-6a7c9d</t>
        </is>
      </c>
      <c r="B170" s="18" t="n">
        <v>45635</v>
      </c>
      <c r="C170" s="17" t="inlineStr">
        <is>
          <t>2 Assinatura iniciada</t>
        </is>
      </c>
      <c r="D170" s="17" t="inlineStr">
        <is>
          <t>S-3abf3f · Basic · anual · 27 seats</t>
        </is>
      </c>
      <c r="E170" s="17" t="inlineStr"/>
    </row>
    <row r="171">
      <c r="A171" s="17" t="inlineStr">
        <is>
          <t>A-6a7c9d</t>
        </is>
      </c>
      <c r="B171" s="18" t="n">
        <v>45637</v>
      </c>
      <c r="C171" s="17" t="inlineStr">
        <is>
          <t>2 Assinatura iniciada</t>
        </is>
      </c>
      <c r="D171" s="17" t="inlineStr">
        <is>
          <t>S-8013f6 · Basic · mensal · 47 seats</t>
        </is>
      </c>
      <c r="E171" s="17" t="inlineStr"/>
    </row>
    <row r="172">
      <c r="A172" s="17" t="inlineStr">
        <is>
          <t>A-6a7c9d</t>
        </is>
      </c>
      <c r="B172" s="18" t="n">
        <v>45646</v>
      </c>
      <c r="C172" s="17" t="inlineStr">
        <is>
          <t>3 Assinatura encerrada</t>
        </is>
      </c>
      <c r="D172" s="17" t="inlineStr">
        <is>
          <t>S-8013f6 · Basic · mensal · 47 seats · 9 dias de vida</t>
        </is>
      </c>
      <c r="E172" s="17" t="inlineStr">
        <is>
          <t>Cancelamento rápido</t>
        </is>
      </c>
    </row>
    <row r="173">
      <c r="A173" s="17" t="inlineStr">
        <is>
          <t>A-6a7c9d</t>
        </is>
      </c>
      <c r="B173" s="18" t="n">
        <v>45652</v>
      </c>
      <c r="C173" s="17" t="inlineStr">
        <is>
          <t>2 Assinatura iniciada</t>
        </is>
      </c>
      <c r="D173" s="17" t="inlineStr">
        <is>
          <t>S-c0820a · Pro · anual · 26 seats</t>
        </is>
      </c>
      <c r="E173" s="17" t="inlineStr"/>
    </row>
    <row r="174">
      <c r="A174" s="17" t="inlineStr">
        <is>
          <t>A-712426</t>
        </is>
      </c>
      <c r="B174" s="18" t="n">
        <v>45216</v>
      </c>
      <c r="C174" s="17" t="inlineStr">
        <is>
          <t>5 Ticket</t>
        </is>
      </c>
      <c r="D174" s="17" t="inlineStr">
        <is>
          <t>T-47ef6b · prioridade medium</t>
        </is>
      </c>
      <c r="E174" s="17" t="inlineStr">
        <is>
          <t>Data ANTES do cadastro</t>
        </is>
      </c>
    </row>
    <row r="175">
      <c r="A175" s="17" t="inlineStr">
        <is>
          <t>A-712426</t>
        </is>
      </c>
      <c r="B175" s="18" t="n">
        <v>45254</v>
      </c>
      <c r="C175" s="17" t="inlineStr">
        <is>
          <t>5 Ticket</t>
        </is>
      </c>
      <c r="D175" s="17" t="inlineStr">
        <is>
          <t>T-370b82 · prioridade low · satisfação 5</t>
        </is>
      </c>
      <c r="E175" s="17" t="inlineStr">
        <is>
          <t>Data ANTES do cadastro</t>
        </is>
      </c>
    </row>
    <row r="176">
      <c r="A176" s="17" t="inlineStr">
        <is>
          <t>A-712426</t>
        </is>
      </c>
      <c r="B176" s="18" t="n">
        <v>45430</v>
      </c>
      <c r="C176" s="17" t="inlineStr">
        <is>
          <t>5 Ticket</t>
        </is>
      </c>
      <c r="D176" s="17" t="inlineStr">
        <is>
          <t>T-fa1316 · prioridade low · satisfação 4</t>
        </is>
      </c>
      <c r="E176" s="17" t="inlineStr">
        <is>
          <t>Data ANTES do cadastro</t>
        </is>
      </c>
    </row>
    <row r="177">
      <c r="A177" s="17" t="inlineStr">
        <is>
          <t>A-712426</t>
        </is>
      </c>
      <c r="B177" s="18" t="n">
        <v>45491</v>
      </c>
      <c r="C177" s="17" t="inlineStr">
        <is>
          <t>5 Ticket</t>
        </is>
      </c>
      <c r="D177" s="17" t="inlineStr">
        <is>
          <t>T-d92e2e · prioridade high · satisfação 4</t>
        </is>
      </c>
      <c r="E177" s="17" t="inlineStr">
        <is>
          <t>Data ANTES do cadastro</t>
        </is>
      </c>
    </row>
    <row r="178">
      <c r="A178" s="17" t="inlineStr">
        <is>
          <t>A-712426</t>
        </is>
      </c>
      <c r="B178" s="18" t="n">
        <v>45508</v>
      </c>
      <c r="C178" s="17" t="inlineStr">
        <is>
          <t>5 Ticket</t>
        </is>
      </c>
      <c r="D178" s="17" t="inlineStr">
        <is>
          <t>T-1e080e · prioridade urgent · satisfação 5</t>
        </is>
      </c>
      <c r="E178" s="17" t="inlineStr">
        <is>
          <t>Data ANTES do cadastro</t>
        </is>
      </c>
    </row>
    <row r="179">
      <c r="A179" s="17" t="inlineStr">
        <is>
          <t>A-712426</t>
        </is>
      </c>
      <c r="B179" s="18" t="n">
        <v>45606</v>
      </c>
      <c r="C179" s="17" t="inlineStr">
        <is>
          <t>1 Cadastro da conta</t>
        </is>
      </c>
      <c r="D179" s="17" t="inlineStr">
        <is>
          <t>HealthTech · US · canal other · plano inicial Enterprise · 9 seats</t>
        </is>
      </c>
      <c r="E179" s="17" t="inlineStr"/>
    </row>
    <row r="180">
      <c r="A180" s="17" t="inlineStr">
        <is>
          <t>A-712426</t>
        </is>
      </c>
      <c r="B180" s="18" t="n">
        <v>45606</v>
      </c>
      <c r="C180" s="17" t="inlineStr">
        <is>
          <t>2 Assinatura iniciada</t>
        </is>
      </c>
      <c r="D180" s="17" t="inlineStr">
        <is>
          <t>S-038c7d · Basic · mensal · 9 seats · trial</t>
        </is>
      </c>
      <c r="E180" s="17" t="inlineStr"/>
    </row>
    <row r="181">
      <c r="A181" s="17" t="inlineStr">
        <is>
          <t>A-712426</t>
        </is>
      </c>
      <c r="B181" s="18" t="n">
        <v>45613</v>
      </c>
      <c r="C181" s="17" t="inlineStr">
        <is>
          <t>2 Assinatura iniciada</t>
        </is>
      </c>
      <c r="D181" s="17" t="inlineStr">
        <is>
          <t>S-ce0d60 · Pro · anual · 14 seats</t>
        </is>
      </c>
      <c r="E181" s="17" t="inlineStr"/>
    </row>
    <row r="182">
      <c r="A182" s="17" t="inlineStr">
        <is>
          <t>A-712426</t>
        </is>
      </c>
      <c r="B182" s="18" t="n">
        <v>45613</v>
      </c>
      <c r="C182" s="17" t="inlineStr">
        <is>
          <t>2 Assinatura iniciada</t>
        </is>
      </c>
      <c r="D182" s="17" t="inlineStr">
        <is>
          <t>S-da78bb · Basic · mensal · 9 seats</t>
        </is>
      </c>
      <c r="E182" s="17" t="inlineStr"/>
    </row>
    <row r="183">
      <c r="A183" s="17" t="inlineStr">
        <is>
          <t>A-712426</t>
        </is>
      </c>
      <c r="B183" s="18" t="n">
        <v>45617</v>
      </c>
      <c r="C183" s="17" t="inlineStr">
        <is>
          <t>4 Evento de churn</t>
        </is>
      </c>
      <c r="D183" s="17" t="inlineStr">
        <is>
          <t>motivo pricing · comentário: missing features</t>
        </is>
      </c>
      <c r="E183" s="17" t="inlineStr"/>
    </row>
    <row r="184">
      <c r="A184" s="17" t="inlineStr">
        <is>
          <t>A-712426</t>
        </is>
      </c>
      <c r="B184" s="18" t="n">
        <v>45622</v>
      </c>
      <c r="C184" s="17" t="inlineStr">
        <is>
          <t>4 Evento de churn</t>
        </is>
      </c>
      <c r="D184" s="17" t="inlineStr">
        <is>
          <t>motivo pricing · comentário: (sem comentário)</t>
        </is>
      </c>
      <c r="E184" s="17" t="inlineStr"/>
    </row>
    <row r="185">
      <c r="A185" s="17" t="inlineStr">
        <is>
          <t>A-712426</t>
        </is>
      </c>
      <c r="B185" s="18" t="n">
        <v>45624</v>
      </c>
      <c r="C185" s="17" t="inlineStr">
        <is>
          <t>2 Assinatura iniciada</t>
        </is>
      </c>
      <c r="D185" s="17" t="inlineStr">
        <is>
          <t>S-af8f54 · Enterprise · mensal · 9 seats</t>
        </is>
      </c>
      <c r="E185" s="17" t="inlineStr"/>
    </row>
    <row r="186">
      <c r="A186" s="17" t="inlineStr">
        <is>
          <t>A-712426</t>
        </is>
      </c>
      <c r="B186" s="18" t="n">
        <v>45624</v>
      </c>
      <c r="C186" s="17" t="inlineStr">
        <is>
          <t>2 Assinatura iniciada</t>
        </is>
      </c>
      <c r="D186" s="17" t="inlineStr">
        <is>
          <t>S-896e2f · Pro · anual · 18 seats</t>
        </is>
      </c>
      <c r="E186" s="17" t="inlineStr"/>
    </row>
    <row r="187">
      <c r="A187" s="17" t="inlineStr">
        <is>
          <t>A-712426</t>
        </is>
      </c>
      <c r="B187" s="18" t="n">
        <v>45633</v>
      </c>
      <c r="C187" s="17" t="inlineStr">
        <is>
          <t>2 Assinatura iniciada</t>
        </is>
      </c>
      <c r="D187" s="17" t="inlineStr">
        <is>
          <t>S-a3129d · Enterprise · anual · 18 seats · trial</t>
        </is>
      </c>
      <c r="E187" s="17" t="inlineStr"/>
    </row>
    <row r="188">
      <c r="A188" s="17" t="inlineStr">
        <is>
          <t>A-712426</t>
        </is>
      </c>
      <c r="B188" s="18" t="n">
        <v>45634</v>
      </c>
      <c r="C188" s="17" t="inlineStr">
        <is>
          <t>2 Assinatura iniciada</t>
        </is>
      </c>
      <c r="D188" s="17" t="inlineStr">
        <is>
          <t>S-9b623b · Enterprise · anual · 13 seats</t>
        </is>
      </c>
      <c r="E188" s="17" t="inlineStr"/>
    </row>
    <row r="189">
      <c r="A189" s="17" t="inlineStr">
        <is>
          <t>A-712426</t>
        </is>
      </c>
      <c r="B189" s="18" t="n">
        <v>45634</v>
      </c>
      <c r="C189" s="17" t="inlineStr">
        <is>
          <t>2 Assinatura iniciada</t>
        </is>
      </c>
      <c r="D189" s="17" t="inlineStr">
        <is>
          <t>S-c53808 · Pro · mensal · 12 seats</t>
        </is>
      </c>
      <c r="E189" s="17" t="inlineStr"/>
    </row>
    <row r="190">
      <c r="A190" s="17" t="inlineStr">
        <is>
          <t>A-712426</t>
        </is>
      </c>
      <c r="B190" s="18" t="n">
        <v>45636</v>
      </c>
      <c r="C190" s="17" t="inlineStr">
        <is>
          <t>5 Ticket</t>
        </is>
      </c>
      <c r="D190" s="17" t="inlineStr">
        <is>
          <t>T-a1ebca · prioridade medium · satisfação 4</t>
        </is>
      </c>
      <c r="E190" s="17" t="inlineStr"/>
    </row>
    <row r="191">
      <c r="A191" s="17" t="inlineStr">
        <is>
          <t>A-712426</t>
        </is>
      </c>
      <c r="B191" s="18" t="n">
        <v>45637</v>
      </c>
      <c r="C191" s="17" t="inlineStr">
        <is>
          <t>2 Assinatura iniciada</t>
        </is>
      </c>
      <c r="D191" s="17" t="inlineStr">
        <is>
          <t>S-82a67a · Pro · anual · 15 seats</t>
        </is>
      </c>
      <c r="E191" s="17" t="inlineStr"/>
    </row>
    <row r="192">
      <c r="A192" s="17" t="inlineStr">
        <is>
          <t>A-712426</t>
        </is>
      </c>
      <c r="B192" s="18" t="n">
        <v>45639</v>
      </c>
      <c r="C192" s="17" t="inlineStr">
        <is>
          <t>3 Assinatura encerrada</t>
        </is>
      </c>
      <c r="D192" s="17" t="inlineStr">
        <is>
          <t>S-82a67a · Pro · anual · 15 seats · 2 dias de vida</t>
        </is>
      </c>
      <c r="E192" s="17" t="inlineStr">
        <is>
          <t>Cancelamento rápido</t>
        </is>
      </c>
    </row>
    <row r="193">
      <c r="A193" s="17" t="inlineStr">
        <is>
          <t>A-712426</t>
        </is>
      </c>
      <c r="B193" s="18" t="n">
        <v>45641</v>
      </c>
      <c r="C193" s="17" t="inlineStr">
        <is>
          <t>2 Assinatura iniciada</t>
        </is>
      </c>
      <c r="D193" s="17" t="inlineStr">
        <is>
          <t>S-6ea0ad · Pro · mensal · 13 seats</t>
        </is>
      </c>
      <c r="E193" s="17" t="inlineStr"/>
    </row>
    <row r="194">
      <c r="A194" s="17" t="inlineStr">
        <is>
          <t>A-712426</t>
        </is>
      </c>
      <c r="B194" s="18" t="n">
        <v>45641</v>
      </c>
      <c r="C194" s="17" t="inlineStr">
        <is>
          <t>2 Assinatura iniciada</t>
        </is>
      </c>
      <c r="D194" s="17" t="inlineStr">
        <is>
          <t>S-9fa60e · Basic · anual · 9 seats</t>
        </is>
      </c>
      <c r="E194" s="17" t="inlineStr"/>
    </row>
    <row r="195">
      <c r="A195" s="17" t="inlineStr">
        <is>
          <t>A-712426</t>
        </is>
      </c>
      <c r="B195" s="18" t="n">
        <v>45642</v>
      </c>
      <c r="C195" s="17" t="inlineStr">
        <is>
          <t>2 Assinatura iniciada</t>
        </is>
      </c>
      <c r="D195" s="17" t="inlineStr">
        <is>
          <t>S-0c42bc · Pro · anual · 9 seats</t>
        </is>
      </c>
      <c r="E195" s="17" t="inlineStr"/>
    </row>
    <row r="196">
      <c r="A196" s="17" t="inlineStr">
        <is>
          <t>A-712426</t>
        </is>
      </c>
      <c r="B196" s="18" t="n">
        <v>45645</v>
      </c>
      <c r="C196" s="17" t="inlineStr">
        <is>
          <t>2 Assinatura iniciada</t>
        </is>
      </c>
      <c r="D196" s="17" t="inlineStr">
        <is>
          <t>S-a0e1dc · Basic · mensal · 119 seats</t>
        </is>
      </c>
      <c r="E196" s="17" t="inlineStr"/>
    </row>
    <row r="197">
      <c r="A197" s="17" t="inlineStr">
        <is>
          <t>A-712426</t>
        </is>
      </c>
      <c r="B197" s="18" t="n">
        <v>45649</v>
      </c>
      <c r="C197" s="17" t="inlineStr">
        <is>
          <t>4 Evento de churn</t>
        </is>
      </c>
      <c r="D197" s="17" t="inlineStr">
        <is>
          <t>motivo features · comentário: missing features</t>
        </is>
      </c>
      <c r="E197" s="17" t="inlineStr"/>
    </row>
    <row r="198">
      <c r="A198" s="17" t="inlineStr">
        <is>
          <t>A-712426</t>
        </is>
      </c>
      <c r="B198" s="18" t="n">
        <v>45652</v>
      </c>
      <c r="C198" s="17" t="inlineStr">
        <is>
          <t>3 Assinatura encerrada</t>
        </is>
      </c>
      <c r="D198" s="17" t="inlineStr">
        <is>
          <t>S-af8f54 · Enterprise · mensal · 9 seats · 28 dias de vida</t>
        </is>
      </c>
      <c r="E198" s="17" t="inlineStr">
        <is>
          <t>Cancelamento rápido</t>
        </is>
      </c>
    </row>
    <row r="199">
      <c r="A199" s="17" t="inlineStr">
        <is>
          <t>A-712426</t>
        </is>
      </c>
      <c r="B199" s="18" t="n">
        <v>45656</v>
      </c>
      <c r="C199" s="17" t="inlineStr">
        <is>
          <t>2 Assinatura iniciada</t>
        </is>
      </c>
      <c r="D199" s="17" t="inlineStr">
        <is>
          <t>S-1dfdd0 · Basic · mensal · 13 seats</t>
        </is>
      </c>
      <c r="E199" s="17" t="inlineStr"/>
    </row>
    <row r="200">
      <c r="A200" s="17" t="inlineStr">
        <is>
          <t>A-712426</t>
        </is>
      </c>
      <c r="B200" s="18" t="n">
        <v>45657</v>
      </c>
      <c r="C200" s="17" t="inlineStr">
        <is>
          <t>2 Assinatura iniciada</t>
        </is>
      </c>
      <c r="D200" s="17" t="inlineStr">
        <is>
          <t>S-fcd231 · Enterprise · anual · 63 seats · trial</t>
        </is>
      </c>
      <c r="E200" s="17" t="inlineStr"/>
    </row>
    <row r="201">
      <c r="A201" s="17" t="inlineStr">
        <is>
          <t>A-76fa4d</t>
        </is>
      </c>
      <c r="B201" s="18" t="n">
        <v>45035</v>
      </c>
      <c r="C201" s="17" t="inlineStr">
        <is>
          <t>5 Ticket</t>
        </is>
      </c>
      <c r="D201" s="17" t="inlineStr">
        <is>
          <t>T-a231f8 · prioridade high · satisfação 4</t>
        </is>
      </c>
      <c r="E201" s="17" t="inlineStr">
        <is>
          <t>Data ANTES do cadastro</t>
        </is>
      </c>
    </row>
    <row r="202">
      <c r="A202" s="17" t="inlineStr">
        <is>
          <t>A-76fa4d</t>
        </is>
      </c>
      <c r="B202" s="18" t="n">
        <v>45100</v>
      </c>
      <c r="C202" s="17" t="inlineStr">
        <is>
          <t>5 Ticket</t>
        </is>
      </c>
      <c r="D202" s="17" t="inlineStr">
        <is>
          <t>T-4579d9 · prioridade medium · satisfação 5</t>
        </is>
      </c>
      <c r="E202" s="17" t="inlineStr">
        <is>
          <t>Data ANTES do cadastro</t>
        </is>
      </c>
    </row>
    <row r="203">
      <c r="A203" s="17" t="inlineStr">
        <is>
          <t>A-76fa4d</t>
        </is>
      </c>
      <c r="B203" s="18" t="n">
        <v>45116</v>
      </c>
      <c r="C203" s="17" t="inlineStr">
        <is>
          <t>5 Ticket</t>
        </is>
      </c>
      <c r="D203" s="17" t="inlineStr">
        <is>
          <t>T-d6943a · prioridade low · satisfação 5</t>
        </is>
      </c>
      <c r="E203" s="17" t="inlineStr">
        <is>
          <t>Data ANTES do cadastro</t>
        </is>
      </c>
    </row>
    <row r="204">
      <c r="A204" s="17" t="inlineStr">
        <is>
          <t>A-76fa4d</t>
        </is>
      </c>
      <c r="B204" s="18" t="n">
        <v>45467</v>
      </c>
      <c r="C204" s="17" t="inlineStr">
        <is>
          <t>5 Ticket</t>
        </is>
      </c>
      <c r="D204" s="17" t="inlineStr">
        <is>
          <t>T-ced995 · prioridade urgent</t>
        </is>
      </c>
      <c r="E204" s="17" t="inlineStr">
        <is>
          <t>Data ANTES do cadastro</t>
        </is>
      </c>
    </row>
    <row r="205">
      <c r="A205" s="17" t="inlineStr">
        <is>
          <t>A-76fa4d</t>
        </is>
      </c>
      <c r="B205" s="18" t="n">
        <v>45620</v>
      </c>
      <c r="C205" s="17" t="inlineStr">
        <is>
          <t>1 Cadastro da conta</t>
        </is>
      </c>
      <c r="D205" s="17" t="inlineStr">
        <is>
          <t>HealthTech · US · canal event · plano inicial Pro · 69 seats</t>
        </is>
      </c>
      <c r="E205" s="17" t="inlineStr"/>
    </row>
    <row r="206">
      <c r="A206" s="17" t="inlineStr">
        <is>
          <t>A-76fa4d</t>
        </is>
      </c>
      <c r="B206" s="18" t="n">
        <v>45622</v>
      </c>
      <c r="C206" s="17" t="inlineStr">
        <is>
          <t>2 Assinatura iniciada</t>
        </is>
      </c>
      <c r="D206" s="17" t="inlineStr">
        <is>
          <t>S-2cec4e · Enterprise · mensal · 69 seats</t>
        </is>
      </c>
      <c r="E206" s="17" t="inlineStr"/>
    </row>
    <row r="207">
      <c r="A207" s="17" t="inlineStr">
        <is>
          <t>A-76fa4d</t>
        </is>
      </c>
      <c r="B207" s="18" t="n">
        <v>45622</v>
      </c>
      <c r="C207" s="17" t="inlineStr">
        <is>
          <t>4 Evento de churn</t>
        </is>
      </c>
      <c r="D207" s="17" t="inlineStr">
        <is>
          <t>motivo unknown · comentário: too expensive · reembolso US$ 1.55</t>
        </is>
      </c>
      <c r="E207" s="17" t="inlineStr"/>
    </row>
    <row r="208">
      <c r="A208" s="17" t="inlineStr">
        <is>
          <t>A-76fa4d</t>
        </is>
      </c>
      <c r="B208" s="18" t="n">
        <v>45623</v>
      </c>
      <c r="C208" s="17" t="inlineStr">
        <is>
          <t>2 Assinatura iniciada</t>
        </is>
      </c>
      <c r="D208" s="17" t="inlineStr">
        <is>
          <t>S-6dff9e · Enterprise · mensal · 69 seats</t>
        </is>
      </c>
      <c r="E208" s="17" t="inlineStr"/>
    </row>
    <row r="209">
      <c r="A209" s="17" t="inlineStr">
        <is>
          <t>A-76fa4d</t>
        </is>
      </c>
      <c r="B209" s="18" t="n">
        <v>45625</v>
      </c>
      <c r="C209" s="17" t="inlineStr">
        <is>
          <t>2 Assinatura iniciada</t>
        </is>
      </c>
      <c r="D209" s="17" t="inlineStr">
        <is>
          <t>S-ef2990 · Pro · anual · 69 seats</t>
        </is>
      </c>
      <c r="E209" s="17" t="inlineStr"/>
    </row>
    <row r="210">
      <c r="A210" s="17" t="inlineStr">
        <is>
          <t>A-76fa4d</t>
        </is>
      </c>
      <c r="B210" s="18" t="n">
        <v>45629</v>
      </c>
      <c r="C210" s="17" t="inlineStr">
        <is>
          <t>2 Assinatura iniciada</t>
        </is>
      </c>
      <c r="D210" s="17" t="inlineStr">
        <is>
          <t>S-cdc644 · Enterprise · anual · 69 seats</t>
        </is>
      </c>
      <c r="E210" s="17" t="inlineStr"/>
    </row>
    <row r="211">
      <c r="A211" s="17" t="inlineStr">
        <is>
          <t>A-76fa4d</t>
        </is>
      </c>
      <c r="B211" s="18" t="n">
        <v>45629</v>
      </c>
      <c r="C211" s="17" t="inlineStr">
        <is>
          <t>4 Evento de churn</t>
        </is>
      </c>
      <c r="D211" s="17" t="inlineStr">
        <is>
          <t>motivo pricing · comentário: too expensive · reembolso US$ 31.49</t>
        </is>
      </c>
      <c r="E211" s="17" t="inlineStr"/>
    </row>
    <row r="212">
      <c r="A212" s="17" t="inlineStr">
        <is>
          <t>A-76fa4d</t>
        </is>
      </c>
      <c r="B212" s="18" t="n">
        <v>45631</v>
      </c>
      <c r="C212" s="17" t="inlineStr">
        <is>
          <t>2 Assinatura iniciada</t>
        </is>
      </c>
      <c r="D212" s="17" t="inlineStr">
        <is>
          <t>S-e6ce29 · Enterprise · mensal · 69 seats</t>
        </is>
      </c>
      <c r="E212" s="17" t="inlineStr"/>
    </row>
    <row r="213">
      <c r="A213" s="17" t="inlineStr">
        <is>
          <t>A-76fa4d</t>
        </is>
      </c>
      <c r="B213" s="18" t="n">
        <v>45634</v>
      </c>
      <c r="C213" s="17" t="inlineStr">
        <is>
          <t>2 Assinatura iniciada</t>
        </is>
      </c>
      <c r="D213" s="17" t="inlineStr">
        <is>
          <t>S-2c11c6 · Pro · mensal · 69 seats · trial</t>
        </is>
      </c>
      <c r="E213" s="17" t="inlineStr"/>
    </row>
    <row r="214">
      <c r="A214" s="17" t="inlineStr">
        <is>
          <t>A-76fa4d</t>
        </is>
      </c>
      <c r="B214" s="18" t="n">
        <v>45650</v>
      </c>
      <c r="C214" s="17" t="inlineStr">
        <is>
          <t>2 Assinatura iniciada</t>
        </is>
      </c>
      <c r="D214" s="17" t="inlineStr">
        <is>
          <t>S-b01b1c · Pro · mensal · 69 seats</t>
        </is>
      </c>
      <c r="E214" s="17" t="inlineStr"/>
    </row>
    <row r="215">
      <c r="A215" s="17" t="inlineStr">
        <is>
          <t>A-76fa4d</t>
        </is>
      </c>
      <c r="B215" s="18" t="n">
        <v>45653</v>
      </c>
      <c r="C215" s="17" t="inlineStr">
        <is>
          <t>5 Ticket</t>
        </is>
      </c>
      <c r="D215" s="17" t="inlineStr">
        <is>
          <t>T-902d96 · prioridade high · satisfação 4</t>
        </is>
      </c>
      <c r="E215" s="17" t="inlineStr"/>
    </row>
    <row r="216">
      <c r="A216" s="17" t="inlineStr">
        <is>
          <t>A-76fa4d</t>
        </is>
      </c>
      <c r="B216" s="18" t="n">
        <v>45654</v>
      </c>
      <c r="C216" s="17" t="inlineStr">
        <is>
          <t>3 Assinatura encerrada</t>
        </is>
      </c>
      <c r="D216" s="17" t="inlineStr">
        <is>
          <t>S-2c11c6 · Pro · mensal · 69 seats · trial · 20 dias de vida</t>
        </is>
      </c>
      <c r="E216" s="17" t="inlineStr">
        <is>
          <t>Cancelamento rápido</t>
        </is>
      </c>
    </row>
    <row r="217">
      <c r="A217" s="17" t="inlineStr">
        <is>
          <t>A-76fa4d</t>
        </is>
      </c>
      <c r="B217" s="18" t="n">
        <v>45657</v>
      </c>
      <c r="C217" s="17" t="inlineStr">
        <is>
          <t>3 Assinatura encerrada</t>
        </is>
      </c>
      <c r="D217" s="17" t="inlineStr">
        <is>
          <t>S-cdc644 · Enterprise · anual · 69 seats · 28 dias de vida</t>
        </is>
      </c>
      <c r="E217" s="17" t="inlineStr">
        <is>
          <t>Cancelamento rápido</t>
        </is>
      </c>
    </row>
    <row r="218">
      <c r="A218" s="17" t="inlineStr">
        <is>
          <t>A-7c6b6b</t>
        </is>
      </c>
      <c r="B218" s="18" t="n">
        <v>45081</v>
      </c>
      <c r="C218" s="17" t="inlineStr">
        <is>
          <t>5 Ticket</t>
        </is>
      </c>
      <c r="D218" s="17" t="inlineStr">
        <is>
          <t>T-c6fa3a · prioridade low · satisfação 5</t>
        </is>
      </c>
      <c r="E218" s="17" t="inlineStr">
        <is>
          <t>Data ANTES do cadastro</t>
        </is>
      </c>
    </row>
    <row r="219">
      <c r="A219" s="17" t="inlineStr">
        <is>
          <t>A-7c6b6b</t>
        </is>
      </c>
      <c r="B219" s="18" t="n">
        <v>45172</v>
      </c>
      <c r="C219" s="17" t="inlineStr">
        <is>
          <t>5 Ticket</t>
        </is>
      </c>
      <c r="D219" s="17" t="inlineStr">
        <is>
          <t>T-17e8e9 · prioridade high · satisfação 5</t>
        </is>
      </c>
      <c r="E219" s="17" t="inlineStr">
        <is>
          <t>Data ANTES do cadastro</t>
        </is>
      </c>
    </row>
    <row r="220">
      <c r="A220" s="17" t="inlineStr">
        <is>
          <t>A-7c6b6b</t>
        </is>
      </c>
      <c r="B220" s="18" t="n">
        <v>45320</v>
      </c>
      <c r="C220" s="17" t="inlineStr">
        <is>
          <t>5 Ticket</t>
        </is>
      </c>
      <c r="D220" s="17" t="inlineStr">
        <is>
          <t>T-03624c · prioridade low · satisfação 3</t>
        </is>
      </c>
      <c r="E220" s="17" t="inlineStr">
        <is>
          <t>Data ANTES do cadastro</t>
        </is>
      </c>
    </row>
    <row r="221">
      <c r="A221" s="17" t="inlineStr">
        <is>
          <t>A-7c6b6b</t>
        </is>
      </c>
      <c r="B221" s="18" t="n">
        <v>45467</v>
      </c>
      <c r="C221" s="17" t="inlineStr">
        <is>
          <t>5 Ticket</t>
        </is>
      </c>
      <c r="D221" s="17" t="inlineStr">
        <is>
          <t>T-a1bc5a · prioridade low</t>
        </is>
      </c>
      <c r="E221" s="17" t="inlineStr">
        <is>
          <t>Data ANTES do cadastro</t>
        </is>
      </c>
    </row>
    <row r="222">
      <c r="A222" s="17" t="inlineStr">
        <is>
          <t>A-7c6b6b</t>
        </is>
      </c>
      <c r="B222" s="18" t="n">
        <v>45545</v>
      </c>
      <c r="C222" s="17" t="inlineStr">
        <is>
          <t>5 Ticket</t>
        </is>
      </c>
      <c r="D222" s="17" t="inlineStr">
        <is>
          <t>T-bad86e · prioridade high</t>
        </is>
      </c>
      <c r="E222" s="17" t="inlineStr">
        <is>
          <t>Data ANTES do cadastro</t>
        </is>
      </c>
    </row>
    <row r="223">
      <c r="A223" s="17" t="inlineStr">
        <is>
          <t>A-7c6b6b</t>
        </is>
      </c>
      <c r="B223" s="18" t="n">
        <v>45626</v>
      </c>
      <c r="C223" s="17" t="inlineStr">
        <is>
          <t>1 Cadastro da conta</t>
        </is>
      </c>
      <c r="D223" s="17" t="inlineStr">
        <is>
          <t>FinTech · US · canal other · plano inicial Basic · 6 seats</t>
        </is>
      </c>
      <c r="E223" s="17" t="inlineStr"/>
    </row>
    <row r="224">
      <c r="A224" s="17" t="inlineStr">
        <is>
          <t>A-7c6b6b</t>
        </is>
      </c>
      <c r="B224" s="18" t="n">
        <v>45632</v>
      </c>
      <c r="C224" s="17" t="inlineStr">
        <is>
          <t>2 Assinatura iniciada</t>
        </is>
      </c>
      <c r="D224" s="17" t="inlineStr">
        <is>
          <t>S-94c40b · Pro · anual · 26 seats</t>
        </is>
      </c>
      <c r="E224" s="17" t="inlineStr"/>
    </row>
    <row r="225">
      <c r="A225" s="17" t="inlineStr">
        <is>
          <t>A-7c6b6b</t>
        </is>
      </c>
      <c r="B225" s="18" t="n">
        <v>45635</v>
      </c>
      <c r="C225" s="17" t="inlineStr">
        <is>
          <t>4 Evento de churn</t>
        </is>
      </c>
      <c r="D225" s="17" t="inlineStr">
        <is>
          <t>motivo budget · comentário: too expensive</t>
        </is>
      </c>
      <c r="E225" s="17" t="inlineStr"/>
    </row>
    <row r="226">
      <c r="A226" s="17" t="inlineStr">
        <is>
          <t>A-7c6b6b</t>
        </is>
      </c>
      <c r="B226" s="18" t="n">
        <v>45636</v>
      </c>
      <c r="C226" s="17" t="inlineStr">
        <is>
          <t>2 Assinatura iniciada</t>
        </is>
      </c>
      <c r="D226" s="17" t="inlineStr">
        <is>
          <t>S-b5337b · Pro · anual · 7 seats</t>
        </is>
      </c>
      <c r="E226" s="17" t="inlineStr"/>
    </row>
    <row r="227">
      <c r="A227" s="17" t="inlineStr">
        <is>
          <t>A-7c6b6b</t>
        </is>
      </c>
      <c r="B227" s="18" t="n">
        <v>45640</v>
      </c>
      <c r="C227" s="17" t="inlineStr">
        <is>
          <t>2 Assinatura iniciada</t>
        </is>
      </c>
      <c r="D227" s="17" t="inlineStr">
        <is>
          <t>S-51dd23 · Basic · mensal · 6 seats</t>
        </is>
      </c>
      <c r="E227" s="17" t="inlineStr"/>
    </row>
    <row r="228">
      <c r="A228" s="17" t="inlineStr">
        <is>
          <t>A-7c6b6b</t>
        </is>
      </c>
      <c r="B228" s="18" t="n">
        <v>45642</v>
      </c>
      <c r="C228" s="17" t="inlineStr">
        <is>
          <t>2 Assinatura iniciada</t>
        </is>
      </c>
      <c r="D228" s="17" t="inlineStr">
        <is>
          <t>S-9e8b22 · Pro · anual · 6 seats</t>
        </is>
      </c>
      <c r="E228" s="17" t="inlineStr"/>
    </row>
    <row r="229">
      <c r="A229" s="17" t="inlineStr">
        <is>
          <t>A-7c6b6b</t>
        </is>
      </c>
      <c r="B229" s="18" t="n">
        <v>45647</v>
      </c>
      <c r="C229" s="17" t="inlineStr">
        <is>
          <t>2 Assinatura iniciada</t>
        </is>
      </c>
      <c r="D229" s="17" t="inlineStr">
        <is>
          <t>S-b81200 · Pro · mensal · 6 seats</t>
        </is>
      </c>
      <c r="E229" s="17" t="inlineStr"/>
    </row>
    <row r="230">
      <c r="A230" s="17" t="inlineStr">
        <is>
          <t>A-7c6b6b</t>
        </is>
      </c>
      <c r="B230" s="18" t="n">
        <v>45649</v>
      </c>
      <c r="C230" s="17" t="inlineStr">
        <is>
          <t>3 Assinatura encerrada</t>
        </is>
      </c>
      <c r="D230" s="17" t="inlineStr">
        <is>
          <t>S-9e8b22 · Pro · anual · 6 seats · 7 dias de vida</t>
        </is>
      </c>
      <c r="E230" s="17" t="inlineStr">
        <is>
          <t>Cancelamento rápido</t>
        </is>
      </c>
    </row>
    <row r="231">
      <c r="A231" s="17" t="inlineStr">
        <is>
          <t>A-7c6b6b</t>
        </is>
      </c>
      <c r="B231" s="18" t="n">
        <v>45651</v>
      </c>
      <c r="C231" s="17" t="inlineStr">
        <is>
          <t>2 Assinatura iniciada</t>
        </is>
      </c>
      <c r="D231" s="17" t="inlineStr">
        <is>
          <t>S-4ac0bb · Pro · mensal · 28 seats</t>
        </is>
      </c>
      <c r="E231" s="17" t="inlineStr"/>
    </row>
    <row r="232">
      <c r="A232" s="17" t="inlineStr">
        <is>
          <t>A-7c6b6b</t>
        </is>
      </c>
      <c r="B232" s="18" t="n">
        <v>45652</v>
      </c>
      <c r="C232" s="17" t="inlineStr">
        <is>
          <t>3 Assinatura encerrada</t>
        </is>
      </c>
      <c r="D232" s="17" t="inlineStr">
        <is>
          <t>S-94c40b · Pro · anual · 26 seats · 20 dias de vida</t>
        </is>
      </c>
      <c r="E232" s="17" t="inlineStr">
        <is>
          <t>Cancelamento rápido</t>
        </is>
      </c>
    </row>
    <row r="233">
      <c r="A233" s="17" t="inlineStr">
        <is>
          <t>A-7c6b6b</t>
        </is>
      </c>
      <c r="B233" s="18" t="n">
        <v>45654</v>
      </c>
      <c r="C233" s="17" t="inlineStr">
        <is>
          <t>2 Assinatura iniciada</t>
        </is>
      </c>
      <c r="D233" s="17" t="inlineStr">
        <is>
          <t>S-32ab86 · Pro · mensal · 23 seats</t>
        </is>
      </c>
      <c r="E233" s="17" t="inlineStr"/>
    </row>
    <row r="234">
      <c r="A234" s="17" t="inlineStr">
        <is>
          <t>A-854864</t>
        </is>
      </c>
      <c r="B234" s="18" t="n">
        <v>44981</v>
      </c>
      <c r="C234" s="17" t="inlineStr">
        <is>
          <t>5 Ticket</t>
        </is>
      </c>
      <c r="D234" s="17" t="inlineStr">
        <is>
          <t>T-f62fdf · prioridade high · satisfação 4</t>
        </is>
      </c>
      <c r="E234" s="17" t="inlineStr">
        <is>
          <t>Data ANTES do cadastro</t>
        </is>
      </c>
    </row>
    <row r="235">
      <c r="A235" s="17" t="inlineStr">
        <is>
          <t>A-854864</t>
        </is>
      </c>
      <c r="B235" s="18" t="n">
        <v>45003</v>
      </c>
      <c r="C235" s="17" t="inlineStr">
        <is>
          <t>5 Ticket</t>
        </is>
      </c>
      <c r="D235" s="17" t="inlineStr">
        <is>
          <t>T-060d32 · prioridade high · satisfação 5</t>
        </is>
      </c>
      <c r="E235" s="17" t="inlineStr">
        <is>
          <t>Data ANTES do cadastro</t>
        </is>
      </c>
    </row>
    <row r="236">
      <c r="A236" s="17" t="inlineStr">
        <is>
          <t>A-854864</t>
        </is>
      </c>
      <c r="B236" s="18" t="n">
        <v>45183</v>
      </c>
      <c r="C236" s="17" t="inlineStr">
        <is>
          <t>5 Ticket</t>
        </is>
      </c>
      <c r="D236" s="17" t="inlineStr">
        <is>
          <t>T-2e98ad · prioridade medium · satisfação 5</t>
        </is>
      </c>
      <c r="E236" s="17" t="inlineStr">
        <is>
          <t>Data ANTES do cadastro</t>
        </is>
      </c>
    </row>
    <row r="237">
      <c r="A237" s="17" t="inlineStr">
        <is>
          <t>A-854864</t>
        </is>
      </c>
      <c r="B237" s="18" t="n">
        <v>45377</v>
      </c>
      <c r="C237" s="17" t="inlineStr">
        <is>
          <t>5 Ticket</t>
        </is>
      </c>
      <c r="D237" s="17" t="inlineStr">
        <is>
          <t>T-01387f · prioridade low · satisfação 5</t>
        </is>
      </c>
      <c r="E237" s="17" t="inlineStr">
        <is>
          <t>Data ANTES do cadastro</t>
        </is>
      </c>
    </row>
    <row r="238">
      <c r="A238" s="17" t="inlineStr">
        <is>
          <t>A-854864</t>
        </is>
      </c>
      <c r="B238" s="18" t="n">
        <v>45491</v>
      </c>
      <c r="C238" s="17" t="inlineStr">
        <is>
          <t>5 Ticket</t>
        </is>
      </c>
      <c r="D238" s="17" t="inlineStr">
        <is>
          <t>T-04457d · prioridade medium · satisfação 5</t>
        </is>
      </c>
      <c r="E238" s="17" t="inlineStr">
        <is>
          <t>Data ANTES do cadastro</t>
        </is>
      </c>
    </row>
    <row r="239">
      <c r="A239" s="17" t="inlineStr">
        <is>
          <t>A-854864</t>
        </is>
      </c>
      <c r="B239" s="18" t="n">
        <v>45633</v>
      </c>
      <c r="C239" s="17" t="inlineStr">
        <is>
          <t>1 Cadastro da conta</t>
        </is>
      </c>
      <c r="D239" s="17" t="inlineStr">
        <is>
          <t>FinTech · IN · canal event · plano inicial Enterprise · 20 seats</t>
        </is>
      </c>
      <c r="E239" s="17" t="inlineStr"/>
    </row>
    <row r="240">
      <c r="A240" s="17" t="inlineStr">
        <is>
          <t>A-854864</t>
        </is>
      </c>
      <c r="B240" s="18" t="n">
        <v>45635</v>
      </c>
      <c r="C240" s="17" t="inlineStr">
        <is>
          <t>2 Assinatura iniciada</t>
        </is>
      </c>
      <c r="D240" s="17" t="inlineStr">
        <is>
          <t>S-6d4050 · Enterprise · mensal · 20 seats</t>
        </is>
      </c>
      <c r="E240" s="17" t="inlineStr"/>
    </row>
    <row r="241">
      <c r="A241" s="17" t="inlineStr">
        <is>
          <t>A-854864</t>
        </is>
      </c>
      <c r="B241" s="18" t="n">
        <v>45641</v>
      </c>
      <c r="C241" s="17" t="inlineStr">
        <is>
          <t>2 Assinatura iniciada</t>
        </is>
      </c>
      <c r="D241" s="17" t="inlineStr">
        <is>
          <t>S-6c625e · Pro · mensal · 91 seats</t>
        </is>
      </c>
      <c r="E241" s="17" t="inlineStr"/>
    </row>
    <row r="242">
      <c r="A242" s="17" t="inlineStr">
        <is>
          <t>A-854864</t>
        </is>
      </c>
      <c r="B242" s="18" t="n">
        <v>45650</v>
      </c>
      <c r="C242" s="17" t="inlineStr">
        <is>
          <t>2 Assinatura iniciada</t>
        </is>
      </c>
      <c r="D242" s="17" t="inlineStr">
        <is>
          <t>S-3d6100 · Pro · anual · 20 seats</t>
        </is>
      </c>
      <c r="E242" s="17" t="inlineStr"/>
    </row>
    <row r="243">
      <c r="A243" s="17" t="inlineStr">
        <is>
          <t>A-854864</t>
        </is>
      </c>
      <c r="B243" s="18" t="n">
        <v>45650</v>
      </c>
      <c r="C243" s="17" t="inlineStr">
        <is>
          <t>4 Evento de churn</t>
        </is>
      </c>
      <c r="D243" s="17" t="inlineStr">
        <is>
          <t>motivo support · comentário: switched to competitor · reembolso US$ 8.47</t>
        </is>
      </c>
      <c r="E243" s="17" t="inlineStr"/>
    </row>
    <row r="244">
      <c r="A244" s="17" t="inlineStr">
        <is>
          <t>A-854864</t>
        </is>
      </c>
      <c r="B244" s="18" t="n">
        <v>45651</v>
      </c>
      <c r="C244" s="17" t="inlineStr">
        <is>
          <t>2 Assinatura iniciada</t>
        </is>
      </c>
      <c r="D244" s="17" t="inlineStr">
        <is>
          <t>S-b32512 · Enterprise · mensal · 20 seats</t>
        </is>
      </c>
      <c r="E244" s="17" t="inlineStr"/>
    </row>
    <row r="245">
      <c r="A245" s="17" t="inlineStr">
        <is>
          <t>A-854864</t>
        </is>
      </c>
      <c r="B245" s="18" t="n">
        <v>45653</v>
      </c>
      <c r="C245" s="17" t="inlineStr">
        <is>
          <t>2 Assinatura iniciada</t>
        </is>
      </c>
      <c r="D245" s="17" t="inlineStr">
        <is>
          <t>S-bbafad · Basic · anual · 20 seats</t>
        </is>
      </c>
      <c r="E245" s="17" t="inlineStr"/>
    </row>
    <row r="246">
      <c r="A246" s="17" t="inlineStr">
        <is>
          <t>A-854864</t>
        </is>
      </c>
      <c r="B246" s="18" t="n">
        <v>45656</v>
      </c>
      <c r="C246" s="17" t="inlineStr">
        <is>
          <t>3 Assinatura encerrada</t>
        </is>
      </c>
      <c r="D246" s="17" t="inlineStr">
        <is>
          <t>S-bbafad · Basic · anual · 20 seats · 3 dias de vida</t>
        </is>
      </c>
      <c r="E246" s="17" t="inlineStr">
        <is>
          <t>Cancelamento rápido</t>
        </is>
      </c>
    </row>
    <row r="247">
      <c r="A247" s="17" t="inlineStr">
        <is>
          <t>A-854864</t>
        </is>
      </c>
      <c r="B247" s="18" t="n">
        <v>45657</v>
      </c>
      <c r="C247" s="17" t="inlineStr">
        <is>
          <t>2 Assinatura iniciada</t>
        </is>
      </c>
      <c r="D247" s="17" t="inlineStr">
        <is>
          <t>S-676254 · Pro · anual · 20 seats</t>
        </is>
      </c>
      <c r="E247" s="17" t="inlineStr"/>
    </row>
    <row r="248">
      <c r="A248" s="17" t="inlineStr">
        <is>
          <t>A-8bde0c</t>
        </is>
      </c>
      <c r="B248" s="18" t="n">
        <v>45144</v>
      </c>
      <c r="C248" s="17" t="inlineStr">
        <is>
          <t>5 Ticket</t>
        </is>
      </c>
      <c r="D248" s="17" t="inlineStr">
        <is>
          <t>T-93e27e · prioridade high · satisfação 4</t>
        </is>
      </c>
      <c r="E248" s="17" t="inlineStr">
        <is>
          <t>Data ANTES do cadastro</t>
        </is>
      </c>
    </row>
    <row r="249">
      <c r="A249" s="17" t="inlineStr">
        <is>
          <t>A-8bde0c</t>
        </is>
      </c>
      <c r="B249" s="18" t="n">
        <v>45481</v>
      </c>
      <c r="C249" s="17" t="inlineStr">
        <is>
          <t>5 Ticket</t>
        </is>
      </c>
      <c r="D249" s="17" t="inlineStr">
        <is>
          <t>T-0aca85 · prioridade medium · satisfação 4</t>
        </is>
      </c>
      <c r="E249" s="17" t="inlineStr">
        <is>
          <t>Data ANTES do cadastro</t>
        </is>
      </c>
    </row>
    <row r="250">
      <c r="A250" s="17" t="inlineStr">
        <is>
          <t>A-8bde0c</t>
        </is>
      </c>
      <c r="B250" s="18" t="n">
        <v>45600</v>
      </c>
      <c r="C250" s="17" t="inlineStr">
        <is>
          <t>1 Cadastro da conta</t>
        </is>
      </c>
      <c r="D250" s="17" t="inlineStr">
        <is>
          <t>DevTools · US · canal organic · plano inicial Basic · 12 seats</t>
        </is>
      </c>
      <c r="E250" s="17" t="inlineStr"/>
    </row>
    <row r="251">
      <c r="A251" s="17" t="inlineStr">
        <is>
          <t>A-8bde0c</t>
        </is>
      </c>
      <c r="B251" s="18" t="n">
        <v>45600</v>
      </c>
      <c r="C251" s="17" t="inlineStr">
        <is>
          <t>2 Assinatura iniciada</t>
        </is>
      </c>
      <c r="D251" s="17" t="inlineStr">
        <is>
          <t>S-daf6b3 · Pro · mensal · 12 seats</t>
        </is>
      </c>
      <c r="E251" s="17" t="inlineStr"/>
    </row>
    <row r="252">
      <c r="A252" s="17" t="inlineStr">
        <is>
          <t>A-8bde0c</t>
        </is>
      </c>
      <c r="B252" s="18" t="n">
        <v>45603</v>
      </c>
      <c r="C252" s="17" t="inlineStr">
        <is>
          <t>5 Ticket</t>
        </is>
      </c>
      <c r="D252" s="17" t="inlineStr">
        <is>
          <t>T-fb798a · prioridade medium</t>
        </is>
      </c>
      <c r="E252" s="17" t="inlineStr"/>
    </row>
    <row r="253">
      <c r="A253" s="17" t="inlineStr">
        <is>
          <t>A-8bde0c</t>
        </is>
      </c>
      <c r="B253" s="18" t="n">
        <v>45609</v>
      </c>
      <c r="C253" s="17" t="inlineStr">
        <is>
          <t>2 Assinatura iniciada</t>
        </is>
      </c>
      <c r="D253" s="17" t="inlineStr">
        <is>
          <t>S-885bd4 · Pro · anual · 12 seats</t>
        </is>
      </c>
      <c r="E253" s="17" t="inlineStr"/>
    </row>
    <row r="254">
      <c r="A254" s="17" t="inlineStr">
        <is>
          <t>A-8bde0c</t>
        </is>
      </c>
      <c r="B254" s="18" t="n">
        <v>45624</v>
      </c>
      <c r="C254" s="17" t="inlineStr">
        <is>
          <t>4 Evento de churn</t>
        </is>
      </c>
      <c r="D254" s="17" t="inlineStr">
        <is>
          <t>motivo features · comentário: missing features</t>
        </is>
      </c>
      <c r="E254" s="17" t="inlineStr"/>
    </row>
    <row r="255">
      <c r="A255" s="17" t="inlineStr">
        <is>
          <t>A-8bde0c</t>
        </is>
      </c>
      <c r="B255" s="18" t="n">
        <v>45638</v>
      </c>
      <c r="C255" s="17" t="inlineStr">
        <is>
          <t>2 Assinatura iniciada</t>
        </is>
      </c>
      <c r="D255" s="17" t="inlineStr">
        <is>
          <t>S-2ee940 · Enterprise · anual · 12 seats</t>
        </is>
      </c>
      <c r="E255" s="17" t="inlineStr"/>
    </row>
    <row r="256">
      <c r="A256" s="17" t="inlineStr">
        <is>
          <t>A-8bde0c</t>
        </is>
      </c>
      <c r="B256" s="18" t="n">
        <v>45639</v>
      </c>
      <c r="C256" s="17" t="inlineStr">
        <is>
          <t>2 Assinatura iniciada</t>
        </is>
      </c>
      <c r="D256" s="17" t="inlineStr">
        <is>
          <t>S-ec41f7 · Enterprise · mensal · 19 seats</t>
        </is>
      </c>
      <c r="E256" s="17" t="inlineStr"/>
    </row>
    <row r="257">
      <c r="A257" s="17" t="inlineStr">
        <is>
          <t>A-8bde0c</t>
        </is>
      </c>
      <c r="B257" s="18" t="n">
        <v>45640</v>
      </c>
      <c r="C257" s="17" t="inlineStr">
        <is>
          <t>2 Assinatura iniciada</t>
        </is>
      </c>
      <c r="D257" s="17" t="inlineStr">
        <is>
          <t>S-9d505c · Basic · mensal · 61 seats</t>
        </is>
      </c>
      <c r="E257" s="17" t="inlineStr"/>
    </row>
    <row r="258">
      <c r="A258" s="17" t="inlineStr">
        <is>
          <t>A-8bde0c</t>
        </is>
      </c>
      <c r="B258" s="18" t="n">
        <v>45640</v>
      </c>
      <c r="C258" s="17" t="inlineStr">
        <is>
          <t>2 Assinatura iniciada</t>
        </is>
      </c>
      <c r="D258" s="17" t="inlineStr">
        <is>
          <t>S-d43ad9 · Pro · anual · 13 seats</t>
        </is>
      </c>
      <c r="E258" s="17" t="inlineStr"/>
    </row>
    <row r="259">
      <c r="A259" s="17" t="inlineStr">
        <is>
          <t>A-8bde0c</t>
        </is>
      </c>
      <c r="B259" s="18" t="n">
        <v>45641</v>
      </c>
      <c r="C259" s="17" t="inlineStr">
        <is>
          <t>2 Assinatura iniciada</t>
        </is>
      </c>
      <c r="D259" s="17" t="inlineStr">
        <is>
          <t>S-f6e14c · Enterprise · anual · 28 seats</t>
        </is>
      </c>
      <c r="E259" s="17" t="inlineStr"/>
    </row>
    <row r="260">
      <c r="A260" s="17" t="inlineStr">
        <is>
          <t>A-8bde0c</t>
        </is>
      </c>
      <c r="B260" s="18" t="n">
        <v>45641</v>
      </c>
      <c r="C260" s="17" t="inlineStr">
        <is>
          <t>2 Assinatura iniciada</t>
        </is>
      </c>
      <c r="D260" s="17" t="inlineStr">
        <is>
          <t>S-129a62 · Basic · mensal · 34 seats · trial</t>
        </is>
      </c>
      <c r="E260" s="17" t="inlineStr"/>
    </row>
    <row r="261">
      <c r="A261" s="17" t="inlineStr">
        <is>
          <t>A-8bde0c</t>
        </is>
      </c>
      <c r="B261" s="18" t="n">
        <v>45645</v>
      </c>
      <c r="C261" s="17" t="inlineStr">
        <is>
          <t>2 Assinatura iniciada</t>
        </is>
      </c>
      <c r="D261" s="17" t="inlineStr">
        <is>
          <t>S-b112eb · Basic · mensal · 53 seats</t>
        </is>
      </c>
      <c r="E261" s="17" t="inlineStr"/>
    </row>
    <row r="262">
      <c r="A262" s="17" t="inlineStr">
        <is>
          <t>A-8bde0c</t>
        </is>
      </c>
      <c r="B262" s="18" t="n">
        <v>45645</v>
      </c>
      <c r="C262" s="17" t="inlineStr">
        <is>
          <t>2 Assinatura iniciada</t>
        </is>
      </c>
      <c r="D262" s="17" t="inlineStr">
        <is>
          <t>S-13a013 · Basic · anual · 23 seats</t>
        </is>
      </c>
      <c r="E262" s="17" t="inlineStr"/>
    </row>
    <row r="263">
      <c r="A263" s="17" t="inlineStr">
        <is>
          <t>A-8bde0c</t>
        </is>
      </c>
      <c r="B263" s="18" t="n">
        <v>45645</v>
      </c>
      <c r="C263" s="17" t="inlineStr">
        <is>
          <t>2 Assinatura iniciada</t>
        </is>
      </c>
      <c r="D263" s="17" t="inlineStr">
        <is>
          <t>S-4fe9b6 · Pro · anual · 25 seats</t>
        </is>
      </c>
      <c r="E263" s="17" t="inlineStr"/>
    </row>
    <row r="264">
      <c r="A264" s="17" t="inlineStr">
        <is>
          <t>A-8bde0c</t>
        </is>
      </c>
      <c r="B264" s="18" t="n">
        <v>45646</v>
      </c>
      <c r="C264" s="17" t="inlineStr">
        <is>
          <t>2 Assinatura iniciada</t>
        </is>
      </c>
      <c r="D264" s="17" t="inlineStr">
        <is>
          <t>S-ff9bde · Pro · mensal · 12 seats</t>
        </is>
      </c>
      <c r="E264" s="17" t="inlineStr"/>
    </row>
    <row r="265">
      <c r="A265" s="17" t="inlineStr">
        <is>
          <t>A-8bde0c</t>
        </is>
      </c>
      <c r="B265" s="18" t="n">
        <v>45647</v>
      </c>
      <c r="C265" s="17" t="inlineStr">
        <is>
          <t>2 Assinatura iniciada</t>
        </is>
      </c>
      <c r="D265" s="17" t="inlineStr">
        <is>
          <t>S-dda681 · Pro · mensal · 12 seats</t>
        </is>
      </c>
      <c r="E265" s="17" t="inlineStr"/>
    </row>
    <row r="266">
      <c r="A266" s="17" t="inlineStr">
        <is>
          <t>A-8bde0c</t>
        </is>
      </c>
      <c r="B266" s="18" t="n">
        <v>45648</v>
      </c>
      <c r="C266" s="17" t="inlineStr">
        <is>
          <t>3 Assinatura encerrada</t>
        </is>
      </c>
      <c r="D266" s="17" t="inlineStr">
        <is>
          <t>S-ff9bde · Pro · mensal · 12 seats · 2 dias de vida</t>
        </is>
      </c>
      <c r="E266" s="17" t="inlineStr">
        <is>
          <t>Cancelamento rápido</t>
        </is>
      </c>
    </row>
    <row r="267">
      <c r="A267" s="17" t="inlineStr">
        <is>
          <t>A-8bde0c</t>
        </is>
      </c>
      <c r="B267" s="18" t="n">
        <v>45649</v>
      </c>
      <c r="C267" s="17" t="inlineStr">
        <is>
          <t>2 Assinatura iniciada</t>
        </is>
      </c>
      <c r="D267" s="17" t="inlineStr">
        <is>
          <t>S-cfd4a3 · Pro · anual · 93 seats</t>
        </is>
      </c>
      <c r="E267" s="17" t="inlineStr"/>
    </row>
    <row r="268">
      <c r="A268" s="17" t="inlineStr">
        <is>
          <t>A-8bde0c</t>
        </is>
      </c>
      <c r="B268" s="18" t="n">
        <v>45649</v>
      </c>
      <c r="C268" s="17" t="inlineStr">
        <is>
          <t>2 Assinatura iniciada</t>
        </is>
      </c>
      <c r="D268" s="17" t="inlineStr">
        <is>
          <t>S-4c6ee1 · Pro · anual · 15 seats</t>
        </is>
      </c>
      <c r="E268" s="17" t="inlineStr"/>
    </row>
    <row r="269">
      <c r="A269" s="17" t="inlineStr">
        <is>
          <t>A-8bde0c</t>
        </is>
      </c>
      <c r="B269" s="18" t="n">
        <v>45650</v>
      </c>
      <c r="C269" s="17" t="inlineStr">
        <is>
          <t>2 Assinatura iniciada</t>
        </is>
      </c>
      <c r="D269" s="17" t="inlineStr">
        <is>
          <t>S-a61006 · Enterprise · mensal · 12 seats</t>
        </is>
      </c>
      <c r="E269" s="17" t="inlineStr"/>
    </row>
    <row r="270">
      <c r="A270" s="17" t="inlineStr">
        <is>
          <t>A-8bde0c</t>
        </is>
      </c>
      <c r="B270" s="18" t="n">
        <v>45652</v>
      </c>
      <c r="C270" s="17" t="inlineStr">
        <is>
          <t>2 Assinatura iniciada</t>
        </is>
      </c>
      <c r="D270" s="17" t="inlineStr">
        <is>
          <t>S-859ee0 · Enterprise · mensal · 28 seats</t>
        </is>
      </c>
      <c r="E270" s="17" t="inlineStr"/>
    </row>
    <row r="271">
      <c r="A271" s="17" t="inlineStr">
        <is>
          <t>A-8bde0c</t>
        </is>
      </c>
      <c r="B271" s="18" t="n">
        <v>45654</v>
      </c>
      <c r="C271" s="17" t="inlineStr">
        <is>
          <t>2 Assinatura iniciada</t>
        </is>
      </c>
      <c r="D271" s="17" t="inlineStr">
        <is>
          <t>S-937207 · Enterprise · mensal · 12 seats</t>
        </is>
      </c>
      <c r="E271" s="17" t="inlineStr"/>
    </row>
    <row r="272">
      <c r="A272" s="17" t="inlineStr">
        <is>
          <t>A-8bde0c</t>
        </is>
      </c>
      <c r="B272" s="18" t="n">
        <v>45656</v>
      </c>
      <c r="C272" s="17" t="inlineStr">
        <is>
          <t>3 Assinatura encerrada</t>
        </is>
      </c>
      <c r="D272" s="17" t="inlineStr">
        <is>
          <t>S-4fe9b6 · Pro · anual · 25 seats · 11 dias de vida</t>
        </is>
      </c>
      <c r="E272" s="17" t="inlineStr">
        <is>
          <t>Cancelamento rápido</t>
        </is>
      </c>
    </row>
    <row r="273">
      <c r="A273" s="17" t="inlineStr">
        <is>
          <t>A-8bde0c</t>
        </is>
      </c>
      <c r="B273" s="18" t="n">
        <v>45656</v>
      </c>
      <c r="C273" s="17" t="inlineStr">
        <is>
          <t>4 Evento de churn</t>
        </is>
      </c>
      <c r="D273" s="17" t="inlineStr">
        <is>
          <t>motivo pricing · comentário: (sem comentário)</t>
        </is>
      </c>
      <c r="E273" s="17" t="inlineStr"/>
    </row>
    <row r="274">
      <c r="A274" s="17" t="inlineStr">
        <is>
          <t>A-956988</t>
        </is>
      </c>
      <c r="B274" s="18" t="n">
        <v>45402</v>
      </c>
      <c r="C274" s="17" t="inlineStr">
        <is>
          <t>5 Ticket</t>
        </is>
      </c>
      <c r="D274" s="17" t="inlineStr">
        <is>
          <t>T-387b29 · prioridade low</t>
        </is>
      </c>
      <c r="E274" s="17" t="inlineStr">
        <is>
          <t>Data ANTES do cadastro</t>
        </is>
      </c>
    </row>
    <row r="275">
      <c r="A275" s="17" t="inlineStr">
        <is>
          <t>A-956988</t>
        </is>
      </c>
      <c r="B275" s="18" t="n">
        <v>45618</v>
      </c>
      <c r="C275" s="17" t="inlineStr">
        <is>
          <t>5 Ticket</t>
        </is>
      </c>
      <c r="D275" s="17" t="inlineStr">
        <is>
          <t>T-f01315 · prioridade urgent · satisfação 3</t>
        </is>
      </c>
      <c r="E275" s="17" t="inlineStr">
        <is>
          <t>Data ANTES do cadastro</t>
        </is>
      </c>
    </row>
    <row r="276">
      <c r="A276" s="17" t="inlineStr">
        <is>
          <t>A-956988</t>
        </is>
      </c>
      <c r="B276" s="18" t="n">
        <v>45626</v>
      </c>
      <c r="C276" s="17" t="inlineStr">
        <is>
          <t>1 Cadastro da conta</t>
        </is>
      </c>
      <c r="D276" s="17" t="inlineStr">
        <is>
          <t>EdTech · UK · canal ads · plano inicial Enterprise · 1 seats</t>
        </is>
      </c>
      <c r="E276" s="17" t="inlineStr"/>
    </row>
    <row r="277">
      <c r="A277" s="17" t="inlineStr">
        <is>
          <t>A-956988</t>
        </is>
      </c>
      <c r="B277" s="18" t="n">
        <v>45627</v>
      </c>
      <c r="C277" s="17" t="inlineStr">
        <is>
          <t>2 Assinatura iniciada</t>
        </is>
      </c>
      <c r="D277" s="17" t="inlineStr">
        <is>
          <t>S-3872fd · Pro · mensal · 2 seats · trial</t>
        </is>
      </c>
      <c r="E277" s="17" t="inlineStr"/>
    </row>
    <row r="278">
      <c r="A278" s="17" t="inlineStr">
        <is>
          <t>A-956988</t>
        </is>
      </c>
      <c r="B278" s="18" t="n">
        <v>45628</v>
      </c>
      <c r="C278" s="17" t="inlineStr">
        <is>
          <t>2 Assinatura iniciada</t>
        </is>
      </c>
      <c r="D278" s="17" t="inlineStr">
        <is>
          <t>S-49b640 · Enterprise · mensal · 9 seats</t>
        </is>
      </c>
      <c r="E278" s="17" t="inlineStr"/>
    </row>
    <row r="279">
      <c r="A279" s="17" t="inlineStr">
        <is>
          <t>A-956988</t>
        </is>
      </c>
      <c r="B279" s="18" t="n">
        <v>45631</v>
      </c>
      <c r="C279" s="17" t="inlineStr">
        <is>
          <t>2 Assinatura iniciada</t>
        </is>
      </c>
      <c r="D279" s="17" t="inlineStr">
        <is>
          <t>S-f9df40 · Basic · anual · 70 seats</t>
        </is>
      </c>
      <c r="E279" s="17" t="inlineStr"/>
    </row>
    <row r="280">
      <c r="A280" s="17" t="inlineStr">
        <is>
          <t>A-956988</t>
        </is>
      </c>
      <c r="B280" s="18" t="n">
        <v>45631</v>
      </c>
      <c r="C280" s="17" t="inlineStr">
        <is>
          <t>2 Assinatura iniciada</t>
        </is>
      </c>
      <c r="D280" s="17" t="inlineStr">
        <is>
          <t>S-c069ab · Enterprise · anual · 55 seats</t>
        </is>
      </c>
      <c r="E280" s="17" t="inlineStr"/>
    </row>
    <row r="281">
      <c r="A281" s="17" t="inlineStr">
        <is>
          <t>A-956988</t>
        </is>
      </c>
      <c r="B281" s="18" t="n">
        <v>45633</v>
      </c>
      <c r="C281" s="17" t="inlineStr">
        <is>
          <t>2 Assinatura iniciada</t>
        </is>
      </c>
      <c r="D281" s="17" t="inlineStr">
        <is>
          <t>S-d1527e · Pro · anual · 26 seats</t>
        </is>
      </c>
      <c r="E281" s="17" t="inlineStr"/>
    </row>
    <row r="282">
      <c r="A282" s="17" t="inlineStr">
        <is>
          <t>A-956988</t>
        </is>
      </c>
      <c r="B282" s="18" t="n">
        <v>45634</v>
      </c>
      <c r="C282" s="17" t="inlineStr">
        <is>
          <t>4 Evento de churn</t>
        </is>
      </c>
      <c r="D282" s="17" t="inlineStr">
        <is>
          <t>motivo budget · comentário: missing features</t>
        </is>
      </c>
      <c r="E282" s="17" t="inlineStr"/>
    </row>
    <row r="283">
      <c r="A283" s="17" t="inlineStr">
        <is>
          <t>A-956988</t>
        </is>
      </c>
      <c r="B283" s="18" t="n">
        <v>45639</v>
      </c>
      <c r="C283" s="17" t="inlineStr">
        <is>
          <t>2 Assinatura iniciada</t>
        </is>
      </c>
      <c r="D283" s="17" t="inlineStr">
        <is>
          <t>S-79ab7e · Enterprise · mensal · 72 seats · trial</t>
        </is>
      </c>
      <c r="E283" s="17" t="inlineStr"/>
    </row>
    <row r="284">
      <c r="A284" s="17" t="inlineStr">
        <is>
          <t>A-956988</t>
        </is>
      </c>
      <c r="B284" s="18" t="n">
        <v>45640</v>
      </c>
      <c r="C284" s="17" t="inlineStr">
        <is>
          <t>2 Assinatura iniciada</t>
        </is>
      </c>
      <c r="D284" s="17" t="inlineStr">
        <is>
          <t>S-ccf9c8 · Basic · mensal · 1 seats</t>
        </is>
      </c>
      <c r="E284" s="17" t="inlineStr"/>
    </row>
    <row r="285">
      <c r="A285" s="17" t="inlineStr">
        <is>
          <t>A-956988</t>
        </is>
      </c>
      <c r="B285" s="18" t="n">
        <v>45641</v>
      </c>
      <c r="C285" s="17" t="inlineStr">
        <is>
          <t>2 Assinatura iniciada</t>
        </is>
      </c>
      <c r="D285" s="17" t="inlineStr">
        <is>
          <t>S-13dfe7 · Pro · anual · 2 seats</t>
        </is>
      </c>
      <c r="E285" s="17" t="inlineStr"/>
    </row>
    <row r="286">
      <c r="A286" s="17" t="inlineStr">
        <is>
          <t>A-956988</t>
        </is>
      </c>
      <c r="B286" s="18" t="n">
        <v>45641</v>
      </c>
      <c r="C286" s="17" t="inlineStr">
        <is>
          <t>2 Assinatura iniciada</t>
        </is>
      </c>
      <c r="D286" s="17" t="inlineStr">
        <is>
          <t>S-c5e371 · Pro · mensal · 41 seats</t>
        </is>
      </c>
      <c r="E286" s="17" t="inlineStr"/>
    </row>
    <row r="287">
      <c r="A287" s="17" t="inlineStr">
        <is>
          <t>A-956988</t>
        </is>
      </c>
      <c r="B287" s="18" t="n">
        <v>45644</v>
      </c>
      <c r="C287" s="17" t="inlineStr">
        <is>
          <t>2 Assinatura iniciada</t>
        </is>
      </c>
      <c r="D287" s="17" t="inlineStr">
        <is>
          <t>S-226cf3 · Pro · mensal · 42 seats</t>
        </is>
      </c>
      <c r="E287" s="17" t="inlineStr"/>
    </row>
    <row r="288">
      <c r="A288" s="17" t="inlineStr">
        <is>
          <t>A-956988</t>
        </is>
      </c>
      <c r="B288" s="18" t="n">
        <v>45644</v>
      </c>
      <c r="C288" s="17" t="inlineStr">
        <is>
          <t>2 Assinatura iniciada</t>
        </is>
      </c>
      <c r="D288" s="17" t="inlineStr">
        <is>
          <t>S-5d0f41 · Pro · mensal · 23 seats</t>
        </is>
      </c>
      <c r="E288" s="17" t="inlineStr"/>
    </row>
    <row r="289">
      <c r="A289" s="17" t="inlineStr">
        <is>
          <t>A-956988</t>
        </is>
      </c>
      <c r="B289" s="18" t="n">
        <v>45648</v>
      </c>
      <c r="C289" s="17" t="inlineStr">
        <is>
          <t>3 Assinatura encerrada</t>
        </is>
      </c>
      <c r="D289" s="17" t="inlineStr">
        <is>
          <t>S-79ab7e · Enterprise · mensal · 72 seats · trial · 9 dias de vida</t>
        </is>
      </c>
      <c r="E289" s="17" t="inlineStr">
        <is>
          <t>Cancelamento rápido</t>
        </is>
      </c>
    </row>
    <row r="290">
      <c r="A290" s="17" t="inlineStr">
        <is>
          <t>A-956988</t>
        </is>
      </c>
      <c r="B290" s="18" t="n">
        <v>45652</v>
      </c>
      <c r="C290" s="17" t="inlineStr">
        <is>
          <t>2 Assinatura iniciada</t>
        </is>
      </c>
      <c r="D290" s="17" t="inlineStr">
        <is>
          <t>S-e195f5 · Enterprise · mensal · 12 seats</t>
        </is>
      </c>
      <c r="E290" s="17" t="inlineStr"/>
    </row>
    <row r="291">
      <c r="A291" s="17" t="inlineStr">
        <is>
          <t>A-956988</t>
        </is>
      </c>
      <c r="B291" s="18" t="n">
        <v>45656</v>
      </c>
      <c r="C291" s="17" t="inlineStr">
        <is>
          <t>2 Assinatura iniciada</t>
        </is>
      </c>
      <c r="D291" s="17" t="inlineStr">
        <is>
          <t>S-f2ccdd · Enterprise · anual · 32 seats</t>
        </is>
      </c>
      <c r="E291" s="17" t="inlineStr"/>
    </row>
    <row r="292">
      <c r="A292" s="17" t="inlineStr">
        <is>
          <t>A-956988</t>
        </is>
      </c>
      <c r="B292" s="18" t="n">
        <v>45656</v>
      </c>
      <c r="C292" s="17" t="inlineStr">
        <is>
          <t>4 Evento de churn</t>
        </is>
      </c>
      <c r="D292" s="17" t="inlineStr">
        <is>
          <t>motivo unknown · comentário: too expensive</t>
        </is>
      </c>
      <c r="E292" s="17" t="inlineStr"/>
    </row>
    <row r="293">
      <c r="A293" s="17" t="inlineStr">
        <is>
          <t>A-bb1486</t>
        </is>
      </c>
      <c r="B293" s="18" t="n">
        <v>45165</v>
      </c>
      <c r="C293" s="17" t="inlineStr">
        <is>
          <t>5 Ticket</t>
        </is>
      </c>
      <c r="D293" s="17" t="inlineStr">
        <is>
          <t>T-b1720e · prioridade high</t>
        </is>
      </c>
      <c r="E293" s="17" t="inlineStr">
        <is>
          <t>Data ANTES do cadastro</t>
        </is>
      </c>
    </row>
    <row r="294">
      <c r="A294" s="17" t="inlineStr">
        <is>
          <t>A-bb1486</t>
        </is>
      </c>
      <c r="B294" s="18" t="n">
        <v>45358</v>
      </c>
      <c r="C294" s="17" t="inlineStr">
        <is>
          <t>5 Ticket</t>
        </is>
      </c>
      <c r="D294" s="17" t="inlineStr">
        <is>
          <t>T-4f404a · prioridade high</t>
        </is>
      </c>
      <c r="E294" s="17" t="inlineStr">
        <is>
          <t>Data ANTES do cadastro</t>
        </is>
      </c>
    </row>
    <row r="295">
      <c r="A295" s="17" t="inlineStr">
        <is>
          <t>A-bb1486</t>
        </is>
      </c>
      <c r="B295" s="18" t="n">
        <v>45431</v>
      </c>
      <c r="C295" s="17" t="inlineStr">
        <is>
          <t>5 Ticket</t>
        </is>
      </c>
      <c r="D295" s="17" t="inlineStr">
        <is>
          <t>T-d612f3 · prioridade low · satisfação 3</t>
        </is>
      </c>
      <c r="E295" s="17" t="inlineStr">
        <is>
          <t>Data ANTES do cadastro</t>
        </is>
      </c>
    </row>
    <row r="296">
      <c r="A296" s="17" t="inlineStr">
        <is>
          <t>A-bb1486</t>
        </is>
      </c>
      <c r="B296" s="18" t="n">
        <v>45601</v>
      </c>
      <c r="C296" s="17" t="inlineStr">
        <is>
          <t>1 Cadastro da conta</t>
        </is>
      </c>
      <c r="D296" s="17" t="inlineStr">
        <is>
          <t>HealthTech · US · canal organic · plano inicial Basic · 41 seats</t>
        </is>
      </c>
      <c r="E296" s="17" t="inlineStr"/>
    </row>
    <row r="297">
      <c r="A297" s="17" t="inlineStr">
        <is>
          <t>A-bb1486</t>
        </is>
      </c>
      <c r="B297" s="18" t="n">
        <v>45609</v>
      </c>
      <c r="C297" s="17" t="inlineStr">
        <is>
          <t>2 Assinatura iniciada</t>
        </is>
      </c>
      <c r="D297" s="17" t="inlineStr">
        <is>
          <t>S-7f7e38 · Pro · mensal · 42 seats</t>
        </is>
      </c>
      <c r="E297" s="17" t="inlineStr"/>
    </row>
    <row r="298">
      <c r="A298" s="17" t="inlineStr">
        <is>
          <t>A-bb1486</t>
        </is>
      </c>
      <c r="B298" s="18" t="n">
        <v>45613</v>
      </c>
      <c r="C298" s="17" t="inlineStr">
        <is>
          <t>2 Assinatura iniciada</t>
        </is>
      </c>
      <c r="D298" s="17" t="inlineStr">
        <is>
          <t>S-ed61a2 · Pro · mensal · 69 seats</t>
        </is>
      </c>
      <c r="E298" s="17" t="inlineStr"/>
    </row>
    <row r="299">
      <c r="A299" s="17" t="inlineStr">
        <is>
          <t>A-bb1486</t>
        </is>
      </c>
      <c r="B299" s="18" t="n">
        <v>45614</v>
      </c>
      <c r="C299" s="17" t="inlineStr">
        <is>
          <t>2 Assinatura iniciada</t>
        </is>
      </c>
      <c r="D299" s="17" t="inlineStr">
        <is>
          <t>S-58ccb4 · Pro · mensal · 41 seats</t>
        </is>
      </c>
      <c r="E299" s="17" t="inlineStr"/>
    </row>
    <row r="300">
      <c r="A300" s="17" t="inlineStr">
        <is>
          <t>A-bb1486</t>
        </is>
      </c>
      <c r="B300" s="18" t="n">
        <v>45617</v>
      </c>
      <c r="C300" s="17" t="inlineStr">
        <is>
          <t>4 Evento de churn</t>
        </is>
      </c>
      <c r="D300" s="17" t="inlineStr">
        <is>
          <t>motivo budget · comentário: switched to competitor</t>
        </is>
      </c>
      <c r="E300" s="17" t="inlineStr"/>
    </row>
    <row r="301">
      <c r="A301" s="17" t="inlineStr">
        <is>
          <t>A-bb1486</t>
        </is>
      </c>
      <c r="B301" s="18" t="n">
        <v>45619</v>
      </c>
      <c r="C301" s="17" t="inlineStr">
        <is>
          <t>2 Assinatura iniciada</t>
        </is>
      </c>
      <c r="D301" s="17" t="inlineStr">
        <is>
          <t>S-6e5a3d · Pro · anual · 41 seats</t>
        </is>
      </c>
      <c r="E301" s="17" t="inlineStr"/>
    </row>
    <row r="302">
      <c r="A302" s="17" t="inlineStr">
        <is>
          <t>A-bb1486</t>
        </is>
      </c>
      <c r="B302" s="18" t="n">
        <v>45619</v>
      </c>
      <c r="C302" s="17" t="inlineStr">
        <is>
          <t>4 Evento de churn</t>
        </is>
      </c>
      <c r="D302" s="17" t="inlineStr">
        <is>
          <t>motivo competitor · comentário: switched to competitor</t>
        </is>
      </c>
      <c r="E302" s="17" t="inlineStr"/>
    </row>
    <row r="303">
      <c r="A303" s="17" t="inlineStr">
        <is>
          <t>A-bb1486</t>
        </is>
      </c>
      <c r="B303" s="18" t="n">
        <v>45632</v>
      </c>
      <c r="C303" s="17" t="inlineStr">
        <is>
          <t>2 Assinatura iniciada</t>
        </is>
      </c>
      <c r="D303" s="17" t="inlineStr">
        <is>
          <t>S-62fa42 · Basic · anual · 41 seats</t>
        </is>
      </c>
      <c r="E303" s="17" t="inlineStr"/>
    </row>
    <row r="304">
      <c r="A304" s="17" t="inlineStr">
        <is>
          <t>A-bb1486</t>
        </is>
      </c>
      <c r="B304" s="18" t="n">
        <v>45635</v>
      </c>
      <c r="C304" s="17" t="inlineStr">
        <is>
          <t>2 Assinatura iniciada</t>
        </is>
      </c>
      <c r="D304" s="17" t="inlineStr">
        <is>
          <t>S-551502 · Basic · mensal · 41 seats</t>
        </is>
      </c>
      <c r="E304" s="17" t="inlineStr"/>
    </row>
    <row r="305">
      <c r="A305" s="17" t="inlineStr">
        <is>
          <t>A-bb1486</t>
        </is>
      </c>
      <c r="B305" s="18" t="n">
        <v>45644</v>
      </c>
      <c r="C305" s="17" t="inlineStr">
        <is>
          <t>2 Assinatura iniciada</t>
        </is>
      </c>
      <c r="D305" s="17" t="inlineStr">
        <is>
          <t>S-a19f87 · Pro · anual · 41 seats</t>
        </is>
      </c>
      <c r="E305" s="17" t="inlineStr"/>
    </row>
    <row r="306">
      <c r="A306" s="17" t="inlineStr">
        <is>
          <t>A-bb1486</t>
        </is>
      </c>
      <c r="B306" s="18" t="n">
        <v>45645</v>
      </c>
      <c r="C306" s="17" t="inlineStr">
        <is>
          <t>3 Assinatura encerrada</t>
        </is>
      </c>
      <c r="D306" s="17" t="inlineStr">
        <is>
          <t>S-62fa42 · Basic · anual · 41 seats · 13 dias de vida</t>
        </is>
      </c>
      <c r="E306" s="17" t="inlineStr">
        <is>
          <t>Cancelamento rápido</t>
        </is>
      </c>
    </row>
    <row r="307">
      <c r="A307" s="17" t="inlineStr">
        <is>
          <t>A-bb1486</t>
        </is>
      </c>
      <c r="B307" s="18" t="n">
        <v>45651</v>
      </c>
      <c r="C307" s="17" t="inlineStr">
        <is>
          <t>2 Assinatura iniciada</t>
        </is>
      </c>
      <c r="D307" s="17" t="inlineStr">
        <is>
          <t>S-bae2c4 · Pro · anual · 67 seats</t>
        </is>
      </c>
      <c r="E307" s="17" t="inlineStr"/>
    </row>
    <row r="308">
      <c r="A308" s="17" t="inlineStr">
        <is>
          <t>A-bf7919</t>
        </is>
      </c>
      <c r="B308" s="18" t="n">
        <v>45088</v>
      </c>
      <c r="C308" s="17" t="inlineStr">
        <is>
          <t>5 Ticket</t>
        </is>
      </c>
      <c r="D308" s="17" t="inlineStr">
        <is>
          <t>T-d57ae7 · prioridade low · satisfação 5</t>
        </is>
      </c>
      <c r="E308" s="17" t="inlineStr">
        <is>
          <t>Data ANTES do cadastro</t>
        </is>
      </c>
    </row>
    <row r="309">
      <c r="A309" s="17" t="inlineStr">
        <is>
          <t>A-bf7919</t>
        </is>
      </c>
      <c r="B309" s="18" t="n">
        <v>45594</v>
      </c>
      <c r="C309" s="17" t="inlineStr">
        <is>
          <t>5 Ticket</t>
        </is>
      </c>
      <c r="D309" s="17" t="inlineStr">
        <is>
          <t>T-c8d035 · prioridade high</t>
        </is>
      </c>
      <c r="E309" s="17" t="inlineStr">
        <is>
          <t>Data ANTES do cadastro</t>
        </is>
      </c>
    </row>
    <row r="310">
      <c r="A310" s="17" t="inlineStr">
        <is>
          <t>A-bf7919</t>
        </is>
      </c>
      <c r="B310" s="18" t="n">
        <v>45623</v>
      </c>
      <c r="C310" s="17" t="inlineStr">
        <is>
          <t>1 Cadastro da conta</t>
        </is>
      </c>
      <c r="D310" s="17" t="inlineStr">
        <is>
          <t>HealthTech · US · canal organic · plano inicial Pro · 3 seats</t>
        </is>
      </c>
      <c r="E310" s="17" t="inlineStr"/>
    </row>
    <row r="311">
      <c r="A311" s="17" t="inlineStr">
        <is>
          <t>A-bf7919</t>
        </is>
      </c>
      <c r="B311" s="18" t="n">
        <v>45632</v>
      </c>
      <c r="C311" s="17" t="inlineStr">
        <is>
          <t>4 Evento de churn</t>
        </is>
      </c>
      <c r="D311" s="17" t="inlineStr">
        <is>
          <t>motivo support · comentário: (sem comentário)</t>
        </is>
      </c>
      <c r="E311" s="17" t="inlineStr"/>
    </row>
    <row r="312">
      <c r="A312" s="17" t="inlineStr">
        <is>
          <t>A-bf7919</t>
        </is>
      </c>
      <c r="B312" s="18" t="n">
        <v>45633</v>
      </c>
      <c r="C312" s="17" t="inlineStr">
        <is>
          <t>2 Assinatura iniciada</t>
        </is>
      </c>
      <c r="D312" s="17" t="inlineStr">
        <is>
          <t>S-c59502 · Enterprise · mensal · 3 seats</t>
        </is>
      </c>
      <c r="E312" s="17" t="inlineStr"/>
    </row>
    <row r="313">
      <c r="A313" s="17" t="inlineStr">
        <is>
          <t>A-bf7919</t>
        </is>
      </c>
      <c r="B313" s="18" t="n">
        <v>45636</v>
      </c>
      <c r="C313" s="17" t="inlineStr">
        <is>
          <t>2 Assinatura iniciada</t>
        </is>
      </c>
      <c r="D313" s="17" t="inlineStr">
        <is>
          <t>S-39f1b0 · Enterprise · anual · 8 seats · trial</t>
        </is>
      </c>
      <c r="E313" s="17" t="inlineStr"/>
    </row>
    <row r="314">
      <c r="A314" s="17" t="inlineStr">
        <is>
          <t>A-bf7919</t>
        </is>
      </c>
      <c r="B314" s="18" t="n">
        <v>45643</v>
      </c>
      <c r="C314" s="17" t="inlineStr">
        <is>
          <t>4 Evento de churn</t>
        </is>
      </c>
      <c r="D314" s="17" t="inlineStr">
        <is>
          <t>motivo features · comentário: too expensive</t>
        </is>
      </c>
      <c r="E314" s="17" t="inlineStr"/>
    </row>
    <row r="315">
      <c r="A315" s="17" t="inlineStr">
        <is>
          <t>A-bf7919</t>
        </is>
      </c>
      <c r="B315" s="18" t="n">
        <v>45647</v>
      </c>
      <c r="C315" s="17" t="inlineStr">
        <is>
          <t>2 Assinatura iniciada</t>
        </is>
      </c>
      <c r="D315" s="17" t="inlineStr">
        <is>
          <t>S-9a44ec · Pro · anual · 15 seats</t>
        </is>
      </c>
      <c r="E315" s="17" t="inlineStr"/>
    </row>
    <row r="316">
      <c r="A316" s="17" t="inlineStr">
        <is>
          <t>A-bf7919</t>
        </is>
      </c>
      <c r="B316" s="18" t="n">
        <v>45650</v>
      </c>
      <c r="C316" s="17" t="inlineStr">
        <is>
          <t>2 Assinatura iniciada</t>
        </is>
      </c>
      <c r="D316" s="17" t="inlineStr">
        <is>
          <t>S-b75eaa · Basic · mensal · 12 seats</t>
        </is>
      </c>
      <c r="E316" s="17" t="inlineStr"/>
    </row>
    <row r="317">
      <c r="A317" s="17" t="inlineStr">
        <is>
          <t>A-bf7919</t>
        </is>
      </c>
      <c r="B317" s="18" t="n">
        <v>45652</v>
      </c>
      <c r="C317" s="17" t="inlineStr">
        <is>
          <t>2 Assinatura iniciada</t>
        </is>
      </c>
      <c r="D317" s="17" t="inlineStr">
        <is>
          <t>S-e8a2fa · Basic · anual · 10 seats · trial</t>
        </is>
      </c>
      <c r="E317" s="17" t="inlineStr"/>
    </row>
    <row r="318">
      <c r="A318" s="17" t="inlineStr">
        <is>
          <t>A-bf7919</t>
        </is>
      </c>
      <c r="B318" s="18" t="n">
        <v>45655</v>
      </c>
      <c r="C318" s="17" t="inlineStr">
        <is>
          <t>3 Assinatura encerrada</t>
        </is>
      </c>
      <c r="D318" s="17" t="inlineStr">
        <is>
          <t>S-9a44ec · Pro · anual · 15 seats · 8 dias de vida</t>
        </is>
      </c>
      <c r="E318" s="17" t="inlineStr">
        <is>
          <t>Cancelamento rápido</t>
        </is>
      </c>
    </row>
    <row r="319">
      <c r="A319" s="17" t="inlineStr">
        <is>
          <t>A-bf7919</t>
        </is>
      </c>
      <c r="B319" s="18" t="n">
        <v>45657</v>
      </c>
      <c r="C319" s="17" t="inlineStr">
        <is>
          <t>2 Assinatura iniciada</t>
        </is>
      </c>
      <c r="D319" s="17" t="inlineStr">
        <is>
          <t>S-615a8a · Enterprise · anual · 11 seats · trial</t>
        </is>
      </c>
      <c r="E319" s="17" t="inlineStr"/>
    </row>
    <row r="320">
      <c r="A320" s="17" t="inlineStr">
        <is>
          <t>A-c16cf7</t>
        </is>
      </c>
      <c r="B320" s="18" t="n">
        <v>44946</v>
      </c>
      <c r="C320" s="17" t="inlineStr">
        <is>
          <t>5 Ticket</t>
        </is>
      </c>
      <c r="D320" s="17" t="inlineStr">
        <is>
          <t>T-84745f · prioridade medium</t>
        </is>
      </c>
      <c r="E320" s="17" t="inlineStr">
        <is>
          <t>Data ANTES do cadastro</t>
        </is>
      </c>
    </row>
    <row r="321">
      <c r="A321" s="17" t="inlineStr">
        <is>
          <t>A-c16cf7</t>
        </is>
      </c>
      <c r="B321" s="18" t="n">
        <v>45125</v>
      </c>
      <c r="C321" s="17" t="inlineStr">
        <is>
          <t>5 Ticket</t>
        </is>
      </c>
      <c r="D321" s="17" t="inlineStr">
        <is>
          <t>T-f5bee9 · prioridade low · satisfação 3</t>
        </is>
      </c>
      <c r="E321" s="17" t="inlineStr">
        <is>
          <t>Data ANTES do cadastro</t>
        </is>
      </c>
    </row>
    <row r="322">
      <c r="A322" s="17" t="inlineStr">
        <is>
          <t>A-c16cf7</t>
        </is>
      </c>
      <c r="B322" s="18" t="n">
        <v>45581</v>
      </c>
      <c r="C322" s="17" t="inlineStr">
        <is>
          <t>1 Cadastro da conta</t>
        </is>
      </c>
      <c r="D322" s="17" t="inlineStr">
        <is>
          <t>EdTech · US · canal event · plano inicial Pro · 13 seats</t>
        </is>
      </c>
      <c r="E322" s="17" t="inlineStr"/>
    </row>
    <row r="323">
      <c r="A323" s="17" t="inlineStr">
        <is>
          <t>A-c16cf7</t>
        </is>
      </c>
      <c r="B323" s="18" t="n">
        <v>45583</v>
      </c>
      <c r="C323" s="17" t="inlineStr">
        <is>
          <t>2 Assinatura iniciada</t>
        </is>
      </c>
      <c r="D323" s="17" t="inlineStr">
        <is>
          <t>S-f7fa56 · Pro · mensal · 13 seats</t>
        </is>
      </c>
      <c r="E323" s="17" t="inlineStr"/>
    </row>
    <row r="324">
      <c r="A324" s="17" t="inlineStr">
        <is>
          <t>A-c16cf7</t>
        </is>
      </c>
      <c r="B324" s="18" t="n">
        <v>45586</v>
      </c>
      <c r="C324" s="17" t="inlineStr">
        <is>
          <t>2 Assinatura iniciada</t>
        </is>
      </c>
      <c r="D324" s="17" t="inlineStr">
        <is>
          <t>S-499ea3 · Enterprise · mensal · 24 seats</t>
        </is>
      </c>
      <c r="E324" s="17" t="inlineStr"/>
    </row>
    <row r="325">
      <c r="A325" s="17" t="inlineStr">
        <is>
          <t>A-c16cf7</t>
        </is>
      </c>
      <c r="B325" s="18" t="n">
        <v>45589</v>
      </c>
      <c r="C325" s="17" t="inlineStr">
        <is>
          <t>2 Assinatura iniciada</t>
        </is>
      </c>
      <c r="D325" s="17" t="inlineStr">
        <is>
          <t>S-329a60 · Basic · anual · 84 seats</t>
        </is>
      </c>
      <c r="E325" s="17" t="inlineStr"/>
    </row>
    <row r="326">
      <c r="A326" s="17" t="inlineStr">
        <is>
          <t>A-c16cf7</t>
        </is>
      </c>
      <c r="B326" s="18" t="n">
        <v>45589</v>
      </c>
      <c r="C326" s="17" t="inlineStr">
        <is>
          <t>5 Ticket</t>
        </is>
      </c>
      <c r="D326" s="17" t="inlineStr">
        <is>
          <t>T-69edbb · prioridade low · satisfação 4</t>
        </is>
      </c>
      <c r="E326" s="17" t="inlineStr"/>
    </row>
    <row r="327">
      <c r="A327" s="17" t="inlineStr">
        <is>
          <t>A-c16cf7</t>
        </is>
      </c>
      <c r="B327" s="18" t="n">
        <v>45592</v>
      </c>
      <c r="C327" s="17" t="inlineStr">
        <is>
          <t>2 Assinatura iniciada</t>
        </is>
      </c>
      <c r="D327" s="17" t="inlineStr">
        <is>
          <t>S-35a9b6 · Pro · anual · 13 seats</t>
        </is>
      </c>
      <c r="E327" s="17" t="inlineStr"/>
    </row>
    <row r="328">
      <c r="A328" s="17" t="inlineStr">
        <is>
          <t>A-c16cf7</t>
        </is>
      </c>
      <c r="B328" s="18" t="n">
        <v>45598</v>
      </c>
      <c r="C328" s="17" t="inlineStr">
        <is>
          <t>2 Assinatura iniciada</t>
        </is>
      </c>
      <c r="D328" s="17" t="inlineStr">
        <is>
          <t>S-cf59a0 · Basic · mensal · 18 seats · trial</t>
        </is>
      </c>
      <c r="E328" s="17" t="inlineStr"/>
    </row>
    <row r="329">
      <c r="A329" s="17" t="inlineStr">
        <is>
          <t>A-c16cf7</t>
        </is>
      </c>
      <c r="B329" s="18" t="n">
        <v>45604</v>
      </c>
      <c r="C329" s="17" t="inlineStr">
        <is>
          <t>4 Evento de churn</t>
        </is>
      </c>
      <c r="D329" s="17" t="inlineStr">
        <is>
          <t>motivo budget · comentário: (sem comentário)</t>
        </is>
      </c>
      <c r="E329" s="17" t="inlineStr"/>
    </row>
    <row r="330">
      <c r="A330" s="17" t="inlineStr">
        <is>
          <t>A-c16cf7</t>
        </is>
      </c>
      <c r="B330" s="18" t="n">
        <v>45608</v>
      </c>
      <c r="C330" s="17" t="inlineStr">
        <is>
          <t>3 Assinatura encerrada</t>
        </is>
      </c>
      <c r="D330" s="17" t="inlineStr">
        <is>
          <t>S-499ea3 · Enterprise · mensal · 24 seats · 22 dias de vida</t>
        </is>
      </c>
      <c r="E330" s="17" t="inlineStr">
        <is>
          <t>Cancelamento rápido</t>
        </is>
      </c>
    </row>
    <row r="331">
      <c r="A331" s="17" t="inlineStr">
        <is>
          <t>A-c16cf7</t>
        </is>
      </c>
      <c r="B331" s="18" t="n">
        <v>45609</v>
      </c>
      <c r="C331" s="17" t="inlineStr">
        <is>
          <t>2 Assinatura iniciada</t>
        </is>
      </c>
      <c r="D331" s="17" t="inlineStr">
        <is>
          <t>S-30bb47 · Enterprise · anual · 13 seats</t>
        </is>
      </c>
      <c r="E331" s="17" t="inlineStr"/>
    </row>
    <row r="332">
      <c r="A332" s="17" t="inlineStr">
        <is>
          <t>A-c16cf7</t>
        </is>
      </c>
      <c r="B332" s="18" t="n">
        <v>45633</v>
      </c>
      <c r="C332" s="17" t="inlineStr">
        <is>
          <t>2 Assinatura iniciada</t>
        </is>
      </c>
      <c r="D332" s="17" t="inlineStr">
        <is>
          <t>S-4691f1 · Basic · anual · 13 seats</t>
        </is>
      </c>
      <c r="E332" s="17" t="inlineStr"/>
    </row>
    <row r="333">
      <c r="A333" s="17" t="inlineStr">
        <is>
          <t>A-c16cf7</t>
        </is>
      </c>
      <c r="B333" s="18" t="n">
        <v>45633</v>
      </c>
      <c r="C333" s="17" t="inlineStr">
        <is>
          <t>2 Assinatura iniciada</t>
        </is>
      </c>
      <c r="D333" s="17" t="inlineStr">
        <is>
          <t>S-567afa · Pro · anual · 18 seats</t>
        </is>
      </c>
      <c r="E333" s="17" t="inlineStr"/>
    </row>
    <row r="334">
      <c r="A334" s="17" t="inlineStr">
        <is>
          <t>A-c16cf7</t>
        </is>
      </c>
      <c r="B334" s="18" t="n">
        <v>45633</v>
      </c>
      <c r="C334" s="17" t="inlineStr">
        <is>
          <t>4 Evento de churn</t>
        </is>
      </c>
      <c r="D334" s="17" t="inlineStr">
        <is>
          <t>motivo support · comentário: too expensive</t>
        </is>
      </c>
      <c r="E334" s="17" t="inlineStr"/>
    </row>
    <row r="335">
      <c r="A335" s="17" t="inlineStr">
        <is>
          <t>A-c16cf7</t>
        </is>
      </c>
      <c r="B335" s="18" t="n">
        <v>45644</v>
      </c>
      <c r="C335" s="17" t="inlineStr">
        <is>
          <t>2 Assinatura iniciada</t>
        </is>
      </c>
      <c r="D335" s="17" t="inlineStr">
        <is>
          <t>S-64ddbc · Basic · mensal · 13 seats</t>
        </is>
      </c>
      <c r="E335" s="17" t="inlineStr"/>
    </row>
    <row r="336">
      <c r="A336" s="17" t="inlineStr">
        <is>
          <t>A-c16cf7</t>
        </is>
      </c>
      <c r="B336" s="18" t="n">
        <v>45649</v>
      </c>
      <c r="C336" s="17" t="inlineStr">
        <is>
          <t>2 Assinatura iniciada</t>
        </is>
      </c>
      <c r="D336" s="17" t="inlineStr">
        <is>
          <t>S-6b9696 · Basic · anual · 35 seats</t>
        </is>
      </c>
      <c r="E336" s="17" t="inlineStr"/>
    </row>
    <row r="337">
      <c r="A337" s="17" t="inlineStr">
        <is>
          <t>A-c43359</t>
        </is>
      </c>
      <c r="B337" s="18" t="n">
        <v>44999</v>
      </c>
      <c r="C337" s="17" t="inlineStr">
        <is>
          <t>5 Ticket</t>
        </is>
      </c>
      <c r="D337" s="17" t="inlineStr">
        <is>
          <t>T-454c29 · prioridade urgent</t>
        </is>
      </c>
      <c r="E337" s="17" t="inlineStr">
        <is>
          <t>Data ANTES do cadastro</t>
        </is>
      </c>
    </row>
    <row r="338">
      <c r="A338" s="17" t="inlineStr">
        <is>
          <t>A-c43359</t>
        </is>
      </c>
      <c r="B338" s="18" t="n">
        <v>45179</v>
      </c>
      <c r="C338" s="17" t="inlineStr">
        <is>
          <t>5 Ticket</t>
        </is>
      </c>
      <c r="D338" s="17" t="inlineStr">
        <is>
          <t>T-47a586 · prioridade high · satisfação 4</t>
        </is>
      </c>
      <c r="E338" s="17" t="inlineStr">
        <is>
          <t>Data ANTES do cadastro</t>
        </is>
      </c>
    </row>
    <row r="339">
      <c r="A339" s="17" t="inlineStr">
        <is>
          <t>A-c43359</t>
        </is>
      </c>
      <c r="B339" s="18" t="n">
        <v>45435</v>
      </c>
      <c r="C339" s="17" t="inlineStr">
        <is>
          <t>5 Ticket</t>
        </is>
      </c>
      <c r="D339" s="17" t="inlineStr">
        <is>
          <t>T-056a79 · prioridade urgent</t>
        </is>
      </c>
      <c r="E339" s="17" t="inlineStr">
        <is>
          <t>Data ANTES do cadastro</t>
        </is>
      </c>
    </row>
    <row r="340">
      <c r="A340" s="17" t="inlineStr">
        <is>
          <t>A-c43359</t>
        </is>
      </c>
      <c r="B340" s="18" t="n">
        <v>45612</v>
      </c>
      <c r="C340" s="17" t="inlineStr">
        <is>
          <t>1 Cadastro da conta</t>
        </is>
      </c>
      <c r="D340" s="17" t="inlineStr">
        <is>
          <t>FinTech · US · canal organic · plano inicial Pro · 38 seats</t>
        </is>
      </c>
      <c r="E340" s="17" t="inlineStr"/>
    </row>
    <row r="341">
      <c r="A341" s="17" t="inlineStr">
        <is>
          <t>A-c43359</t>
        </is>
      </c>
      <c r="B341" s="18" t="n">
        <v>45614</v>
      </c>
      <c r="C341" s="17" t="inlineStr">
        <is>
          <t>2 Assinatura iniciada</t>
        </is>
      </c>
      <c r="D341" s="17" t="inlineStr">
        <is>
          <t>S-c86492 · Pro · anual · 38 seats</t>
        </is>
      </c>
      <c r="E341" s="17" t="inlineStr"/>
    </row>
    <row r="342">
      <c r="A342" s="17" t="inlineStr">
        <is>
          <t>A-c43359</t>
        </is>
      </c>
      <c r="B342" s="18" t="n">
        <v>45621</v>
      </c>
      <c r="C342" s="17" t="inlineStr">
        <is>
          <t>2 Assinatura iniciada</t>
        </is>
      </c>
      <c r="D342" s="17" t="inlineStr">
        <is>
          <t>S-18e3a5 · Basic · anual · 38 seats</t>
        </is>
      </c>
      <c r="E342" s="17" t="inlineStr"/>
    </row>
    <row r="343">
      <c r="A343" s="17" t="inlineStr">
        <is>
          <t>A-c43359</t>
        </is>
      </c>
      <c r="B343" s="18" t="n">
        <v>45624</v>
      </c>
      <c r="C343" s="17" t="inlineStr">
        <is>
          <t>3 Assinatura encerrada</t>
        </is>
      </c>
      <c r="D343" s="17" t="inlineStr">
        <is>
          <t>S-18e3a5 · Basic · anual · 38 seats · 3 dias de vida</t>
        </is>
      </c>
      <c r="E343" s="17" t="inlineStr">
        <is>
          <t>Cancelamento rápido</t>
        </is>
      </c>
    </row>
    <row r="344">
      <c r="A344" s="17" t="inlineStr">
        <is>
          <t>A-c43359</t>
        </is>
      </c>
      <c r="B344" s="18" t="n">
        <v>45625</v>
      </c>
      <c r="C344" s="17" t="inlineStr">
        <is>
          <t>2 Assinatura iniciada</t>
        </is>
      </c>
      <c r="D344" s="17" t="inlineStr">
        <is>
          <t>S-09cb75 · Basic · anual · 38 seats</t>
        </is>
      </c>
      <c r="E344" s="17" t="inlineStr"/>
    </row>
    <row r="345">
      <c r="A345" s="17" t="inlineStr">
        <is>
          <t>A-c43359</t>
        </is>
      </c>
      <c r="B345" s="18" t="n">
        <v>45636</v>
      </c>
      <c r="C345" s="17" t="inlineStr">
        <is>
          <t>2 Assinatura iniciada</t>
        </is>
      </c>
      <c r="D345" s="17" t="inlineStr">
        <is>
          <t>S-8b345c · Pro · mensal · 38 seats · trial</t>
        </is>
      </c>
      <c r="E345" s="17" t="inlineStr"/>
    </row>
    <row r="346">
      <c r="A346" s="17" t="inlineStr">
        <is>
          <t>A-c43359</t>
        </is>
      </c>
      <c r="B346" s="18" t="n">
        <v>45637</v>
      </c>
      <c r="C346" s="17" t="inlineStr">
        <is>
          <t>2 Assinatura iniciada</t>
        </is>
      </c>
      <c r="D346" s="17" t="inlineStr">
        <is>
          <t>S-5fe191 · Enterprise · anual · 38 seats</t>
        </is>
      </c>
      <c r="E346" s="17" t="inlineStr"/>
    </row>
    <row r="347">
      <c r="A347" s="17" t="inlineStr">
        <is>
          <t>A-c43359</t>
        </is>
      </c>
      <c r="B347" s="18" t="n">
        <v>45638</v>
      </c>
      <c r="C347" s="17" t="inlineStr">
        <is>
          <t>4 Evento de churn</t>
        </is>
      </c>
      <c r="D347" s="17" t="inlineStr">
        <is>
          <t>motivo unknown · comentário: too expensive</t>
        </is>
      </c>
      <c r="E347" s="17" t="inlineStr"/>
    </row>
    <row r="348">
      <c r="A348" s="17" t="inlineStr">
        <is>
          <t>A-c43359</t>
        </is>
      </c>
      <c r="B348" s="18" t="n">
        <v>45640</v>
      </c>
      <c r="C348" s="17" t="inlineStr">
        <is>
          <t>2 Assinatura iniciada</t>
        </is>
      </c>
      <c r="D348" s="17" t="inlineStr">
        <is>
          <t>S-3503cb · Basic · mensal · 38 seats</t>
        </is>
      </c>
      <c r="E348" s="17" t="inlineStr"/>
    </row>
    <row r="349">
      <c r="A349" s="17" t="inlineStr">
        <is>
          <t>A-c43359</t>
        </is>
      </c>
      <c r="B349" s="18" t="n">
        <v>45643</v>
      </c>
      <c r="C349" s="17" t="inlineStr">
        <is>
          <t>2 Assinatura iniciada</t>
        </is>
      </c>
      <c r="D349" s="17" t="inlineStr">
        <is>
          <t>S-b3c4b8 · Pro · anual · 38 seats · trial</t>
        </is>
      </c>
      <c r="E349" s="17" t="inlineStr"/>
    </row>
    <row r="350">
      <c r="A350" s="17" t="inlineStr">
        <is>
          <t>A-c43359</t>
        </is>
      </c>
      <c r="B350" s="18" t="n">
        <v>45645</v>
      </c>
      <c r="C350" s="17" t="inlineStr">
        <is>
          <t>4 Evento de churn</t>
        </is>
      </c>
      <c r="D350" s="17" t="inlineStr">
        <is>
          <t>motivo support · comentário: missing features · reembolso US$ 8.92</t>
        </is>
      </c>
      <c r="E350" s="17" t="inlineStr"/>
    </row>
    <row r="351">
      <c r="A351" s="17" t="inlineStr">
        <is>
          <t>A-c43359</t>
        </is>
      </c>
      <c r="B351" s="18" t="n">
        <v>45648</v>
      </c>
      <c r="C351" s="17" t="inlineStr">
        <is>
          <t>2 Assinatura iniciada</t>
        </is>
      </c>
      <c r="D351" s="17" t="inlineStr">
        <is>
          <t>S-eec041 · Basic · mensal · 38 seats</t>
        </is>
      </c>
      <c r="E351" s="17" t="inlineStr"/>
    </row>
    <row r="352">
      <c r="A352" s="17" t="inlineStr">
        <is>
          <t>A-c43359</t>
        </is>
      </c>
      <c r="B352" s="18" t="n">
        <v>45656</v>
      </c>
      <c r="C352" s="17" t="inlineStr">
        <is>
          <t>3 Assinatura encerrada</t>
        </is>
      </c>
      <c r="D352" s="17" t="inlineStr">
        <is>
          <t>S-09cb75 · Basic · anual · 38 seats · 31 dias de vida</t>
        </is>
      </c>
      <c r="E352" s="17" t="inlineStr"/>
    </row>
    <row r="353">
      <c r="A353" s="17" t="inlineStr">
        <is>
          <t>A-fd7ad3</t>
        </is>
      </c>
      <c r="B353" s="18" t="n">
        <v>44963</v>
      </c>
      <c r="C353" s="17" t="inlineStr">
        <is>
          <t>5 Ticket</t>
        </is>
      </c>
      <c r="D353" s="17" t="inlineStr">
        <is>
          <t>T-09dd85 · prioridade low · satisfação 3</t>
        </is>
      </c>
      <c r="E353" s="17" t="inlineStr">
        <is>
          <t>Data ANTES do cadastro</t>
        </is>
      </c>
    </row>
    <row r="354">
      <c r="A354" s="17" t="inlineStr">
        <is>
          <t>A-fd7ad3</t>
        </is>
      </c>
      <c r="B354" s="18" t="n">
        <v>45113</v>
      </c>
      <c r="C354" s="17" t="inlineStr">
        <is>
          <t>5 Ticket</t>
        </is>
      </c>
      <c r="D354" s="17" t="inlineStr">
        <is>
          <t>T-cb9d4b · prioridade medium · satisfação 4</t>
        </is>
      </c>
      <c r="E354" s="17" t="inlineStr">
        <is>
          <t>Data ANTES do cadastro</t>
        </is>
      </c>
    </row>
    <row r="355">
      <c r="A355" s="17" t="inlineStr">
        <is>
          <t>A-fd7ad3</t>
        </is>
      </c>
      <c r="B355" s="18" t="n">
        <v>45159</v>
      </c>
      <c r="C355" s="17" t="inlineStr">
        <is>
          <t>5 Ticket</t>
        </is>
      </c>
      <c r="D355" s="17" t="inlineStr">
        <is>
          <t>T-104009 · prioridade high</t>
        </is>
      </c>
      <c r="E355" s="17" t="inlineStr">
        <is>
          <t>Data ANTES do cadastro</t>
        </is>
      </c>
    </row>
    <row r="356">
      <c r="A356" s="17" t="inlineStr">
        <is>
          <t>A-fd7ad3</t>
        </is>
      </c>
      <c r="B356" s="18" t="n">
        <v>45283</v>
      </c>
      <c r="C356" s="17" t="inlineStr">
        <is>
          <t>5 Ticket</t>
        </is>
      </c>
      <c r="D356" s="17" t="inlineStr">
        <is>
          <t>T-d370a4 · prioridade urgent · satisfação 5 · escalado</t>
        </is>
      </c>
      <c r="E356" s="17" t="inlineStr">
        <is>
          <t>Data ANTES do cadastro</t>
        </is>
      </c>
    </row>
    <row r="357">
      <c r="A357" s="17" t="inlineStr">
        <is>
          <t>A-fd7ad3</t>
        </is>
      </c>
      <c r="B357" s="18" t="n">
        <v>45409</v>
      </c>
      <c r="C357" s="17" t="inlineStr">
        <is>
          <t>5 Ticket</t>
        </is>
      </c>
      <c r="D357" s="17" t="inlineStr">
        <is>
          <t>T-a1d9dd · prioridade urgent · satisfação 3</t>
        </is>
      </c>
      <c r="E357" s="17" t="inlineStr">
        <is>
          <t>Data ANTES do cadastro</t>
        </is>
      </c>
    </row>
    <row r="358">
      <c r="A358" s="17" t="inlineStr">
        <is>
          <t>A-fd7ad3</t>
        </is>
      </c>
      <c r="B358" s="18" t="n">
        <v>45521</v>
      </c>
      <c r="C358" s="17" t="inlineStr">
        <is>
          <t>5 Ticket</t>
        </is>
      </c>
      <c r="D358" s="17" t="inlineStr">
        <is>
          <t>T-fc25d0 · prioridade high</t>
        </is>
      </c>
      <c r="E358" s="17" t="inlineStr">
        <is>
          <t>Data ANTES do cadastro</t>
        </is>
      </c>
    </row>
    <row r="359">
      <c r="A359" s="17" t="inlineStr">
        <is>
          <t>A-fd7ad3</t>
        </is>
      </c>
      <c r="B359" s="18" t="n">
        <v>45573</v>
      </c>
      <c r="C359" s="17" t="inlineStr">
        <is>
          <t>5 Ticket</t>
        </is>
      </c>
      <c r="D359" s="17" t="inlineStr">
        <is>
          <t>T-bc73ad · prioridade low · satisfação 5</t>
        </is>
      </c>
      <c r="E359" s="17" t="inlineStr">
        <is>
          <t>Data ANTES do cadastro</t>
        </is>
      </c>
    </row>
    <row r="360">
      <c r="A360" s="17" t="inlineStr">
        <is>
          <t>A-fd7ad3</t>
        </is>
      </c>
      <c r="B360" s="18" t="n">
        <v>45582</v>
      </c>
      <c r="C360" s="17" t="inlineStr">
        <is>
          <t>5 Ticket</t>
        </is>
      </c>
      <c r="D360" s="17" t="inlineStr">
        <is>
          <t>T-7d2f68 · prioridade low · satisfação 5</t>
        </is>
      </c>
      <c r="E360" s="17" t="inlineStr">
        <is>
          <t>Data ANTES do cadastro</t>
        </is>
      </c>
    </row>
    <row r="361">
      <c r="A361" s="17" t="inlineStr">
        <is>
          <t>A-fd7ad3</t>
        </is>
      </c>
      <c r="B361" s="18" t="n">
        <v>45597</v>
      </c>
      <c r="C361" s="17" t="inlineStr">
        <is>
          <t>1 Cadastro da conta</t>
        </is>
      </c>
      <c r="D361" s="17" t="inlineStr">
        <is>
          <t>Cybersecurity · US · canal event · plano inicial Enterprise · 1 seats</t>
        </is>
      </c>
      <c r="E361" s="17" t="inlineStr"/>
    </row>
    <row r="362">
      <c r="A362" s="17" t="inlineStr">
        <is>
          <t>A-fd7ad3</t>
        </is>
      </c>
      <c r="B362" s="18" t="n">
        <v>45598</v>
      </c>
      <c r="C362" s="17" t="inlineStr">
        <is>
          <t>2 Assinatura iniciada</t>
        </is>
      </c>
      <c r="D362" s="17" t="inlineStr">
        <is>
          <t>S-28489e · Basic · anual · 12 seats · trial</t>
        </is>
      </c>
      <c r="E362" s="17" t="inlineStr"/>
    </row>
    <row r="363">
      <c r="A363" s="17" t="inlineStr">
        <is>
          <t>A-fd7ad3</t>
        </is>
      </c>
      <c r="B363" s="18" t="n">
        <v>45598</v>
      </c>
      <c r="C363" s="17" t="inlineStr">
        <is>
          <t>2 Assinatura iniciada</t>
        </is>
      </c>
      <c r="D363" s="17" t="inlineStr">
        <is>
          <t>S-f78a1a · Basic · anual · 3 seats</t>
        </is>
      </c>
      <c r="E363" s="17" t="inlineStr"/>
    </row>
    <row r="364">
      <c r="A364" s="17" t="inlineStr">
        <is>
          <t>A-fd7ad3</t>
        </is>
      </c>
      <c r="B364" s="18" t="n">
        <v>45603</v>
      </c>
      <c r="C364" s="17" t="inlineStr">
        <is>
          <t>2 Assinatura iniciada</t>
        </is>
      </c>
      <c r="D364" s="17" t="inlineStr">
        <is>
          <t>S-b1dce0 · Basic · mensal · 12 seats</t>
        </is>
      </c>
      <c r="E364" s="17" t="inlineStr"/>
    </row>
    <row r="365">
      <c r="A365" s="17" t="inlineStr">
        <is>
          <t>A-fd7ad3</t>
        </is>
      </c>
      <c r="B365" s="18" t="n">
        <v>45606</v>
      </c>
      <c r="C365" s="17" t="inlineStr">
        <is>
          <t>2 Assinatura iniciada</t>
        </is>
      </c>
      <c r="D365" s="17" t="inlineStr">
        <is>
          <t>S-d19797 · Basic · mensal · 1 seats</t>
        </is>
      </c>
      <c r="E365" s="17" t="inlineStr"/>
    </row>
    <row r="366">
      <c r="A366" s="17" t="inlineStr">
        <is>
          <t>A-fd7ad3</t>
        </is>
      </c>
      <c r="B366" s="18" t="n">
        <v>45608</v>
      </c>
      <c r="C366" s="17" t="inlineStr">
        <is>
          <t>4 Evento de churn</t>
        </is>
      </c>
      <c r="D366" s="17" t="inlineStr">
        <is>
          <t>motivo pricing · comentário: switched to competitor · reembolso US$ 70.03</t>
        </is>
      </c>
      <c r="E366" s="17" t="inlineStr"/>
    </row>
    <row r="367">
      <c r="A367" s="17" t="inlineStr">
        <is>
          <t>A-fd7ad3</t>
        </is>
      </c>
      <c r="B367" s="18" t="n">
        <v>45610</v>
      </c>
      <c r="C367" s="17" t="inlineStr">
        <is>
          <t>2 Assinatura iniciada</t>
        </is>
      </c>
      <c r="D367" s="17" t="inlineStr">
        <is>
          <t>S-79ba6e · Enterprise · anual · 24 seats · trial</t>
        </is>
      </c>
      <c r="E367" s="17" t="inlineStr"/>
    </row>
    <row r="368">
      <c r="A368" s="17" t="inlineStr">
        <is>
          <t>A-fd7ad3</t>
        </is>
      </c>
      <c r="B368" s="18" t="n">
        <v>45613</v>
      </c>
      <c r="C368" s="17" t="inlineStr">
        <is>
          <t>2 Assinatura iniciada</t>
        </is>
      </c>
      <c r="D368" s="17" t="inlineStr">
        <is>
          <t>S-d6e421 · Pro · anual · 10 seats · trial</t>
        </is>
      </c>
      <c r="E368" s="17" t="inlineStr"/>
    </row>
    <row r="369">
      <c r="A369" s="17" t="inlineStr">
        <is>
          <t>A-fd7ad3</t>
        </is>
      </c>
      <c r="B369" s="18" t="n">
        <v>45619</v>
      </c>
      <c r="C369" s="17" t="inlineStr">
        <is>
          <t>4 Evento de churn</t>
        </is>
      </c>
      <c r="D369" s="17" t="inlineStr">
        <is>
          <t>motivo support · comentário: too expensive</t>
        </is>
      </c>
      <c r="E369" s="17" t="inlineStr"/>
    </row>
    <row r="370">
      <c r="A370" s="17" t="inlineStr">
        <is>
          <t>A-fd7ad3</t>
        </is>
      </c>
      <c r="B370" s="18" t="n">
        <v>45622</v>
      </c>
      <c r="C370" s="17" t="inlineStr">
        <is>
          <t>2 Assinatura iniciada</t>
        </is>
      </c>
      <c r="D370" s="17" t="inlineStr">
        <is>
          <t>S-6cb3d7 · Pro · anual · 11 seats</t>
        </is>
      </c>
      <c r="E370" s="17" t="inlineStr"/>
    </row>
    <row r="371">
      <c r="A371" s="17" t="inlineStr">
        <is>
          <t>A-fd7ad3</t>
        </is>
      </c>
      <c r="B371" s="18" t="n">
        <v>45625</v>
      </c>
      <c r="C371" s="17" t="inlineStr">
        <is>
          <t>2 Assinatura iniciada</t>
        </is>
      </c>
      <c r="D371" s="17" t="inlineStr">
        <is>
          <t>S-1261fb · Pro · mensal · 1 seats</t>
        </is>
      </c>
      <c r="E371" s="17" t="inlineStr"/>
    </row>
    <row r="372">
      <c r="A372" s="17" t="inlineStr">
        <is>
          <t>A-fd7ad3</t>
        </is>
      </c>
      <c r="B372" s="18" t="n">
        <v>45645</v>
      </c>
      <c r="C372" s="17" t="inlineStr">
        <is>
          <t>4 Evento de churn</t>
        </is>
      </c>
      <c r="D372" s="17" t="inlineStr">
        <is>
          <t>motivo support · comentário: missing features</t>
        </is>
      </c>
      <c r="E372" s="17" t="inlineStr"/>
    </row>
    <row r="373">
      <c r="A373" s="17" t="inlineStr">
        <is>
          <t>A-fd7ad3</t>
        </is>
      </c>
      <c r="B373" s="18" t="n">
        <v>45646</v>
      </c>
      <c r="C373" s="17" t="inlineStr">
        <is>
          <t>3 Assinatura encerrada</t>
        </is>
      </c>
      <c r="D373" s="17" t="inlineStr">
        <is>
          <t>S-6cb3d7 · Pro · anual · 11 seats · 24 dias de vida</t>
        </is>
      </c>
      <c r="E373" s="17" t="inlineStr">
        <is>
          <t>Cancelamento rápido</t>
        </is>
      </c>
    </row>
    <row r="374">
      <c r="A374" s="17" t="inlineStr">
        <is>
          <t>A-fd7ad3</t>
        </is>
      </c>
      <c r="B374" s="18" t="n">
        <v>45649</v>
      </c>
      <c r="C374" s="17" t="inlineStr">
        <is>
          <t>2 Assinatura iniciada</t>
        </is>
      </c>
      <c r="D374" s="17" t="inlineStr">
        <is>
          <t>S-80af53 · Enterprise · mensal · 12 seats</t>
        </is>
      </c>
      <c r="E374" s="17" t="inlineStr"/>
    </row>
    <row r="375">
      <c r="A375" s="17" t="inlineStr">
        <is>
          <t>A-fd7ad3</t>
        </is>
      </c>
      <c r="B375" s="18" t="n">
        <v>45652</v>
      </c>
      <c r="C375" s="17" t="inlineStr">
        <is>
          <t>2 Assinatura iniciada</t>
        </is>
      </c>
      <c r="D375" s="17" t="inlineStr">
        <is>
          <t>S-4f43fd · Basic · mensal · 29 seats</t>
        </is>
      </c>
      <c r="E375" s="17" t="inlineStr"/>
    </row>
    <row r="376">
      <c r="A376" s="17" t="inlineStr">
        <is>
          <t>A-fd7ad3</t>
        </is>
      </c>
      <c r="B376" s="18" t="n">
        <v>45655</v>
      </c>
      <c r="C376" s="17" t="inlineStr">
        <is>
          <t>3 Assinatura encerrada</t>
        </is>
      </c>
      <c r="D376" s="17" t="inlineStr">
        <is>
          <t>S-80af53 · Enterprise · mensal · 12 seats · 6 dias de vida</t>
        </is>
      </c>
      <c r="E376" s="17" t="inlineStr">
        <is>
          <t>Cancelamento rápido</t>
        </is>
      </c>
    </row>
    <row r="377">
      <c r="A377" s="17" t="inlineStr">
        <is>
          <t>A-fd7ad3</t>
        </is>
      </c>
      <c r="B377" s="18" t="n">
        <v>45657</v>
      </c>
      <c r="C377" s="17" t="inlineStr">
        <is>
          <t>4 Evento de churn</t>
        </is>
      </c>
      <c r="D377" s="17" t="inlineStr">
        <is>
          <t>motivo unknown · comentário: (sem comentário)</t>
        </is>
      </c>
      <c r="E377" s="17" t="inlineStr"/>
    </row>
  </sheetData>
  <conditionalFormatting sqref="E2:E377">
    <cfRule type="cellIs" priority="1" operator="equal" dxfId="0">
      <formula>"Data ANTES do cadastro"</formula>
    </cfRule>
    <cfRule type="cellIs" priority="2" operator="equal" dxfId="2">
      <formula>"Cancelamento rápido"</formula>
    </cfRule>
  </conditionalFormatting>
  <conditionalFormatting sqref="A2:D377">
    <cfRule type="expression" priority="3" dxfId="3">
      <formula>$C2="4 Evento de churn"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6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0" customWidth="1" min="2" max="2"/>
    <col width="8" customWidth="1" min="3" max="3"/>
    <col width="9" customWidth="1" min="4" max="4"/>
    <col width="10" customWidth="1" min="5" max="5"/>
    <col width="10" customWidth="1" min="6" max="6"/>
    <col width="8" customWidth="1" min="7" max="7"/>
    <col width="10" customWidth="1" min="8" max="8"/>
    <col width="9" customWidth="1" min="9" max="9"/>
    <col width="7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 ht="44" customHeight="1">
      <c r="A1" s="16" t="inlineStr">
        <is>
          <t>Assinatura</t>
        </is>
      </c>
      <c r="B1" s="16" t="inlineStr">
        <is>
          <t>Conta</t>
        </is>
      </c>
      <c r="C1" s="16" t="inlineStr">
        <is>
          <t>Grupo</t>
        </is>
      </c>
      <c r="D1" s="16" t="inlineStr">
        <is>
          <t>Uma das 21 contas?</t>
        </is>
      </c>
      <c r="E1" s="16" t="inlineStr">
        <is>
          <t>Início</t>
        </is>
      </c>
      <c r="F1" s="16" t="inlineStr">
        <is>
          <t>Fim</t>
        </is>
      </c>
      <c r="G1" s="16" t="inlineStr">
        <is>
          <t>Dias de vida</t>
        </is>
      </c>
      <c r="H1" s="16" t="inlineStr">
        <is>
          <t>Plano</t>
        </is>
      </c>
      <c r="I1" s="16" t="inlineStr">
        <is>
          <t>Cobrança</t>
        </is>
      </c>
      <c r="J1" s="16" t="inlineStr">
        <is>
          <t>Seats</t>
        </is>
      </c>
      <c r="K1" s="16" t="inlineStr">
        <is>
          <t>Outras assinaturas ativas no dia do fim</t>
        </is>
      </c>
      <c r="L1" s="16" t="inlineStr">
        <is>
          <t>Conta ficou sem nenhuma assinatura?</t>
        </is>
      </c>
      <c r="M1" s="16" t="inlineStr">
        <is>
          <t>Nova assinatura até 7 dias (antes/depois)?</t>
        </is>
      </c>
      <c r="N1" s="16" t="inlineStr">
        <is>
          <t>Nova com mesmos seats?</t>
        </is>
      </c>
    </row>
    <row r="2">
      <c r="A2" s="17" t="inlineStr">
        <is>
          <t>S-f81687</t>
        </is>
      </c>
      <c r="B2" s="17" t="inlineStr">
        <is>
          <t>A-e7a1e2</t>
        </is>
      </c>
      <c r="C2" s="17" t="inlineStr">
        <is>
          <t>Rápida</t>
        </is>
      </c>
      <c r="D2" s="17" t="inlineStr">
        <is>
          <t>Não</t>
        </is>
      </c>
      <c r="E2" s="18" t="n">
        <v>45619</v>
      </c>
      <c r="F2" s="18" t="n">
        <v>45639</v>
      </c>
      <c r="G2" s="17" t="n">
        <v>20</v>
      </c>
      <c r="H2" s="17" t="inlineStr">
        <is>
          <t>Enterprise</t>
        </is>
      </c>
      <c r="I2" s="17" t="inlineStr">
        <is>
          <t>monthly</t>
        </is>
      </c>
      <c r="J2" s="17" t="n">
        <v>5</v>
      </c>
      <c r="K2" s="17" t="n">
        <v>9</v>
      </c>
      <c r="L2" s="17" t="inlineStr">
        <is>
          <t>Não</t>
        </is>
      </c>
      <c r="M2" s="17" t="inlineStr">
        <is>
          <t>Não</t>
        </is>
      </c>
      <c r="N2" s="17" t="inlineStr">
        <is>
          <t>Não</t>
        </is>
      </c>
    </row>
    <row r="3">
      <c r="A3" s="17" t="inlineStr">
        <is>
          <t>S-3bd427</t>
        </is>
      </c>
      <c r="B3" s="17" t="inlineStr">
        <is>
          <t>A-2e3bad</t>
        </is>
      </c>
      <c r="C3" s="17" t="inlineStr">
        <is>
          <t>Rápida</t>
        </is>
      </c>
      <c r="D3" s="17" t="inlineStr">
        <is>
          <t>Não</t>
        </is>
      </c>
      <c r="E3" s="18" t="n">
        <v>45630</v>
      </c>
      <c r="F3" s="18" t="n">
        <v>45653</v>
      </c>
      <c r="G3" s="17" t="n">
        <v>23</v>
      </c>
      <c r="H3" s="17" t="inlineStr">
        <is>
          <t>Basic</t>
        </is>
      </c>
      <c r="I3" s="17" t="inlineStr">
        <is>
          <t>monthly</t>
        </is>
      </c>
      <c r="J3" s="17" t="n">
        <v>61</v>
      </c>
      <c r="K3" s="17" t="n">
        <v>8</v>
      </c>
      <c r="L3" s="17" t="inlineStr">
        <is>
          <t>Não</t>
        </is>
      </c>
      <c r="M3" s="17" t="inlineStr">
        <is>
          <t>Não</t>
        </is>
      </c>
      <c r="N3" s="17" t="inlineStr">
        <is>
          <t>Não</t>
        </is>
      </c>
    </row>
    <row r="4">
      <c r="A4" s="17" t="inlineStr">
        <is>
          <t>S-aff55c</t>
        </is>
      </c>
      <c r="B4" s="17" t="inlineStr">
        <is>
          <t>A-bb2f49</t>
        </is>
      </c>
      <c r="C4" s="17" t="inlineStr">
        <is>
          <t>Lenta</t>
        </is>
      </c>
      <c r="D4" s="17" t="inlineStr">
        <is>
          <t>Não</t>
        </is>
      </c>
      <c r="E4" s="18" t="n">
        <v>45305</v>
      </c>
      <c r="F4" s="18" t="n">
        <v>45655</v>
      </c>
      <c r="G4" s="17" t="n">
        <v>350</v>
      </c>
      <c r="H4" s="17" t="inlineStr">
        <is>
          <t>Pro</t>
        </is>
      </c>
      <c r="I4" s="17" t="inlineStr">
        <is>
          <t>monthly</t>
        </is>
      </c>
      <c r="J4" s="17" t="n">
        <v>8</v>
      </c>
      <c r="K4" s="17" t="n">
        <v>10</v>
      </c>
      <c r="L4" s="17" t="inlineStr">
        <is>
          <t>Não</t>
        </is>
      </c>
      <c r="M4" s="17" t="inlineStr">
        <is>
          <t>Sim</t>
        </is>
      </c>
      <c r="N4" s="17" t="inlineStr">
        <is>
          <t>Não</t>
        </is>
      </c>
    </row>
    <row r="5">
      <c r="A5" s="17" t="inlineStr">
        <is>
          <t>S-7f8cd8</t>
        </is>
      </c>
      <c r="B5" s="17" t="inlineStr">
        <is>
          <t>A-53f4e3</t>
        </is>
      </c>
      <c r="C5" s="17" t="inlineStr">
        <is>
          <t>Lenta</t>
        </is>
      </c>
      <c r="D5" s="17" t="inlineStr">
        <is>
          <t>Não</t>
        </is>
      </c>
      <c r="E5" s="18" t="n">
        <v>45553</v>
      </c>
      <c r="F5" s="18" t="n">
        <v>45613</v>
      </c>
      <c r="G5" s="17" t="n">
        <v>60</v>
      </c>
      <c r="H5" s="17" t="inlineStr">
        <is>
          <t>Enterprise</t>
        </is>
      </c>
      <c r="I5" s="17" t="inlineStr">
        <is>
          <t>monthly</t>
        </is>
      </c>
      <c r="J5" s="17" t="n">
        <v>20</v>
      </c>
      <c r="K5" s="17" t="n">
        <v>5</v>
      </c>
      <c r="L5" s="17" t="inlineStr">
        <is>
          <t>Não</t>
        </is>
      </c>
      <c r="M5" s="17" t="inlineStr">
        <is>
          <t>Não</t>
        </is>
      </c>
      <c r="N5" s="17" t="inlineStr">
        <is>
          <t>Não</t>
        </is>
      </c>
    </row>
    <row r="6">
      <c r="A6" s="17" t="inlineStr">
        <is>
          <t>S-b2d472</t>
        </is>
      </c>
      <c r="B6" s="17" t="inlineStr">
        <is>
          <t>A-bcf87c</t>
        </is>
      </c>
      <c r="C6" s="17" t="inlineStr">
        <is>
          <t>Lenta</t>
        </is>
      </c>
      <c r="D6" s="17" t="inlineStr">
        <is>
          <t>Não</t>
        </is>
      </c>
      <c r="E6" s="18" t="n">
        <v>45531</v>
      </c>
      <c r="F6" s="18" t="n">
        <v>45637</v>
      </c>
      <c r="G6" s="17" t="n">
        <v>106</v>
      </c>
      <c r="H6" s="17" t="inlineStr">
        <is>
          <t>Enterprise</t>
        </is>
      </c>
      <c r="I6" s="17" t="inlineStr">
        <is>
          <t>annual</t>
        </is>
      </c>
      <c r="J6" s="17" t="n">
        <v>10</v>
      </c>
      <c r="K6" s="17" t="n">
        <v>8</v>
      </c>
      <c r="L6" s="17" t="inlineStr">
        <is>
          <t>Não</t>
        </is>
      </c>
      <c r="M6" s="17" t="inlineStr">
        <is>
          <t>Sim</t>
        </is>
      </c>
      <c r="N6" s="17" t="inlineStr">
        <is>
          <t>Não</t>
        </is>
      </c>
    </row>
    <row r="7">
      <c r="A7" s="17" t="inlineStr">
        <is>
          <t>S-0267b7</t>
        </is>
      </c>
      <c r="B7" s="17" t="inlineStr">
        <is>
          <t>A-65a46c</t>
        </is>
      </c>
      <c r="C7" s="17" t="inlineStr">
        <is>
          <t>Lenta</t>
        </is>
      </c>
      <c r="D7" s="17" t="inlineStr">
        <is>
          <t>Não</t>
        </is>
      </c>
      <c r="E7" s="18" t="n">
        <v>45582</v>
      </c>
      <c r="F7" s="18" t="n">
        <v>45630</v>
      </c>
      <c r="G7" s="17" t="n">
        <v>48</v>
      </c>
      <c r="H7" s="17" t="inlineStr">
        <is>
          <t>Enterprise</t>
        </is>
      </c>
      <c r="I7" s="17" t="inlineStr">
        <is>
          <t>monthly</t>
        </is>
      </c>
      <c r="J7" s="17" t="n">
        <v>13</v>
      </c>
      <c r="K7" s="17" t="n">
        <v>6</v>
      </c>
      <c r="L7" s="17" t="inlineStr">
        <is>
          <t>Não</t>
        </is>
      </c>
      <c r="M7" s="17" t="inlineStr">
        <is>
          <t>Não</t>
        </is>
      </c>
      <c r="N7" s="17" t="inlineStr">
        <is>
          <t>Não</t>
        </is>
      </c>
    </row>
    <row r="8">
      <c r="A8" s="17" t="inlineStr">
        <is>
          <t>S-ce5450</t>
        </is>
      </c>
      <c r="B8" s="17" t="inlineStr">
        <is>
          <t>A-0a282f</t>
        </is>
      </c>
      <c r="C8" s="17" t="inlineStr">
        <is>
          <t>Rápida</t>
        </is>
      </c>
      <c r="D8" s="17" t="inlineStr">
        <is>
          <t>Não</t>
        </is>
      </c>
      <c r="E8" s="18" t="n">
        <v>45651</v>
      </c>
      <c r="F8" s="18" t="n">
        <v>45654</v>
      </c>
      <c r="G8" s="17" t="n">
        <v>3</v>
      </c>
      <c r="H8" s="17" t="inlineStr">
        <is>
          <t>Pro</t>
        </is>
      </c>
      <c r="I8" s="17" t="inlineStr">
        <is>
          <t>annual</t>
        </is>
      </c>
      <c r="J8" s="17" t="n">
        <v>8</v>
      </c>
      <c r="K8" s="17" t="n">
        <v>12</v>
      </c>
      <c r="L8" s="17" t="inlineStr">
        <is>
          <t>Não</t>
        </is>
      </c>
      <c r="M8" s="17" t="inlineStr">
        <is>
          <t>Sim</t>
        </is>
      </c>
      <c r="N8" s="17" t="inlineStr">
        <is>
          <t>Não</t>
        </is>
      </c>
    </row>
    <row r="9">
      <c r="A9" s="17" t="inlineStr">
        <is>
          <t>S-0cb6ed</t>
        </is>
      </c>
      <c r="B9" s="17" t="inlineStr">
        <is>
          <t>A-ac85cd</t>
        </is>
      </c>
      <c r="C9" s="17" t="inlineStr">
        <is>
          <t>Lenta</t>
        </is>
      </c>
      <c r="D9" s="17" t="inlineStr">
        <is>
          <t>Não</t>
        </is>
      </c>
      <c r="E9" s="18" t="n">
        <v>45605</v>
      </c>
      <c r="F9" s="18" t="n">
        <v>45644</v>
      </c>
      <c r="G9" s="17" t="n">
        <v>39</v>
      </c>
      <c r="H9" s="17" t="inlineStr">
        <is>
          <t>Pro</t>
        </is>
      </c>
      <c r="I9" s="17" t="inlineStr">
        <is>
          <t>annual</t>
        </is>
      </c>
      <c r="J9" s="17" t="n">
        <v>53</v>
      </c>
      <c r="K9" s="17" t="n">
        <v>6</v>
      </c>
      <c r="L9" s="17" t="inlineStr">
        <is>
          <t>Não</t>
        </is>
      </c>
      <c r="M9" s="17" t="inlineStr">
        <is>
          <t>Sim</t>
        </is>
      </c>
      <c r="N9" s="17" t="inlineStr">
        <is>
          <t>Sim</t>
        </is>
      </c>
    </row>
    <row r="10">
      <c r="A10" s="17" t="inlineStr">
        <is>
          <t>S-1bd2ec</t>
        </is>
      </c>
      <c r="B10" s="17" t="inlineStr">
        <is>
          <t>A-e60f9d</t>
        </is>
      </c>
      <c r="C10" s="17" t="inlineStr">
        <is>
          <t>Rápida</t>
        </is>
      </c>
      <c r="D10" s="17" t="inlineStr">
        <is>
          <t>Não</t>
        </is>
      </c>
      <c r="E10" s="18" t="n">
        <v>45651</v>
      </c>
      <c r="F10" s="18" t="n">
        <v>45654</v>
      </c>
      <c r="G10" s="17" t="n">
        <v>3</v>
      </c>
      <c r="H10" s="17" t="inlineStr">
        <is>
          <t>Basic</t>
        </is>
      </c>
      <c r="I10" s="17" t="inlineStr">
        <is>
          <t>annual</t>
        </is>
      </c>
      <c r="J10" s="17" t="n">
        <v>38</v>
      </c>
      <c r="K10" s="17" t="n">
        <v>13</v>
      </c>
      <c r="L10" s="17" t="inlineStr">
        <is>
          <t>Não</t>
        </is>
      </c>
      <c r="M10" s="17" t="inlineStr">
        <is>
          <t>Sim</t>
        </is>
      </c>
      <c r="N10" s="17" t="inlineStr">
        <is>
          <t>Não</t>
        </is>
      </c>
    </row>
    <row r="11">
      <c r="A11" s="17" t="inlineStr">
        <is>
          <t>S-017e33</t>
        </is>
      </c>
      <c r="B11" s="17" t="inlineStr">
        <is>
          <t>A-f9cc74</t>
        </is>
      </c>
      <c r="C11" s="17" t="inlineStr">
        <is>
          <t>Rápida</t>
        </is>
      </c>
      <c r="D11" s="17" t="inlineStr">
        <is>
          <t>Não</t>
        </is>
      </c>
      <c r="E11" s="18" t="n">
        <v>45604</v>
      </c>
      <c r="F11" s="18" t="n">
        <v>45621</v>
      </c>
      <c r="G11" s="17" t="n">
        <v>17</v>
      </c>
      <c r="H11" s="17" t="inlineStr">
        <is>
          <t>Basic</t>
        </is>
      </c>
      <c r="I11" s="17" t="inlineStr">
        <is>
          <t>monthly</t>
        </is>
      </c>
      <c r="J11" s="17" t="n">
        <v>53</v>
      </c>
      <c r="K11" s="17" t="n">
        <v>4</v>
      </c>
      <c r="L11" s="17" t="inlineStr">
        <is>
          <t>Não</t>
        </is>
      </c>
      <c r="M11" s="17" t="inlineStr">
        <is>
          <t>Sim</t>
        </is>
      </c>
      <c r="N11" s="17" t="inlineStr">
        <is>
          <t>Não</t>
        </is>
      </c>
    </row>
    <row r="12">
      <c r="A12" s="17" t="inlineStr">
        <is>
          <t>S-9b2c95</t>
        </is>
      </c>
      <c r="B12" s="17" t="inlineStr">
        <is>
          <t>A-e60f9d</t>
        </is>
      </c>
      <c r="C12" s="17" t="inlineStr">
        <is>
          <t>Rápida</t>
        </is>
      </c>
      <c r="D12" s="17" t="inlineStr">
        <is>
          <t>Não</t>
        </is>
      </c>
      <c r="E12" s="18" t="n">
        <v>45620</v>
      </c>
      <c r="F12" s="18" t="n">
        <v>45631</v>
      </c>
      <c r="G12" s="17" t="n">
        <v>11</v>
      </c>
      <c r="H12" s="17" t="inlineStr">
        <is>
          <t>Pro</t>
        </is>
      </c>
      <c r="I12" s="17" t="inlineStr">
        <is>
          <t>annual</t>
        </is>
      </c>
      <c r="J12" s="17" t="n">
        <v>29</v>
      </c>
      <c r="K12" s="17" t="n">
        <v>9</v>
      </c>
      <c r="L12" s="17" t="inlineStr">
        <is>
          <t>Não</t>
        </is>
      </c>
      <c r="M12" s="17" t="inlineStr">
        <is>
          <t>Sim</t>
        </is>
      </c>
      <c r="N12" s="17" t="inlineStr">
        <is>
          <t>Sim</t>
        </is>
      </c>
    </row>
    <row r="13">
      <c r="A13" s="17" t="inlineStr">
        <is>
          <t>S-431c03</t>
        </is>
      </c>
      <c r="B13" s="17" t="inlineStr">
        <is>
          <t>A-e4bf56</t>
        </is>
      </c>
      <c r="C13" s="17" t="inlineStr">
        <is>
          <t>Rápida</t>
        </is>
      </c>
      <c r="D13" s="17" t="inlineStr">
        <is>
          <t>Não</t>
        </is>
      </c>
      <c r="E13" s="18" t="n">
        <v>45628</v>
      </c>
      <c r="F13" s="18" t="n">
        <v>45645</v>
      </c>
      <c r="G13" s="17" t="n">
        <v>17</v>
      </c>
      <c r="H13" s="17" t="inlineStr">
        <is>
          <t>Enterprise</t>
        </is>
      </c>
      <c r="I13" s="17" t="inlineStr">
        <is>
          <t>monthly</t>
        </is>
      </c>
      <c r="J13" s="17" t="n">
        <v>37</v>
      </c>
      <c r="K13" s="17" t="n">
        <v>5</v>
      </c>
      <c r="L13" s="17" t="inlineStr">
        <is>
          <t>Não</t>
        </is>
      </c>
      <c r="M13" s="17" t="inlineStr">
        <is>
          <t>Sim</t>
        </is>
      </c>
      <c r="N13" s="17" t="inlineStr">
        <is>
          <t>Não</t>
        </is>
      </c>
    </row>
    <row r="14">
      <c r="A14" s="17" t="inlineStr">
        <is>
          <t>S-4f0027</t>
        </is>
      </c>
      <c r="B14" s="17" t="inlineStr">
        <is>
          <t>A-ff79f2</t>
        </is>
      </c>
      <c r="C14" s="17" t="inlineStr">
        <is>
          <t>Rápida</t>
        </is>
      </c>
      <c r="D14" s="17" t="inlineStr">
        <is>
          <t>Não</t>
        </is>
      </c>
      <c r="E14" s="18" t="n">
        <v>45657</v>
      </c>
      <c r="F14" s="18" t="n">
        <v>45657</v>
      </c>
      <c r="G14" s="17" t="n">
        <v>0</v>
      </c>
      <c r="H14" s="17" t="inlineStr">
        <is>
          <t>Enterprise</t>
        </is>
      </c>
      <c r="I14" s="17" t="inlineStr">
        <is>
          <t>annual</t>
        </is>
      </c>
      <c r="J14" s="17" t="n">
        <v>19</v>
      </c>
      <c r="K14" s="17" t="n">
        <v>7</v>
      </c>
      <c r="L14" s="17" t="inlineStr">
        <is>
          <t>Não</t>
        </is>
      </c>
      <c r="M14" s="17" t="inlineStr">
        <is>
          <t>Sim</t>
        </is>
      </c>
      <c r="N14" s="17" t="inlineStr">
        <is>
          <t>Não</t>
        </is>
      </c>
    </row>
    <row r="15">
      <c r="A15" s="17" t="inlineStr">
        <is>
          <t>S-396a84</t>
        </is>
      </c>
      <c r="B15" s="17" t="inlineStr">
        <is>
          <t>A-5b4ebb</t>
        </is>
      </c>
      <c r="C15" s="17" t="inlineStr">
        <is>
          <t>Lenta</t>
        </is>
      </c>
      <c r="D15" s="17" t="inlineStr">
        <is>
          <t>Não</t>
        </is>
      </c>
      <c r="E15" s="18" t="n">
        <v>45588</v>
      </c>
      <c r="F15" s="18" t="n">
        <v>45623</v>
      </c>
      <c r="G15" s="17" t="n">
        <v>35</v>
      </c>
      <c r="H15" s="17" t="inlineStr">
        <is>
          <t>Basic</t>
        </is>
      </c>
      <c r="I15" s="17" t="inlineStr">
        <is>
          <t>monthly</t>
        </is>
      </c>
      <c r="J15" s="17" t="n">
        <v>21</v>
      </c>
      <c r="K15" s="17" t="n">
        <v>10</v>
      </c>
      <c r="L15" s="17" t="inlineStr">
        <is>
          <t>Não</t>
        </is>
      </c>
      <c r="M15" s="17" t="inlineStr">
        <is>
          <t>Sim</t>
        </is>
      </c>
      <c r="N15" s="17" t="inlineStr">
        <is>
          <t>Não</t>
        </is>
      </c>
    </row>
    <row r="16">
      <c r="A16" s="17" t="inlineStr">
        <is>
          <t>S-33e40e</t>
        </is>
      </c>
      <c r="B16" s="17" t="inlineStr">
        <is>
          <t>A-86cdb4</t>
        </is>
      </c>
      <c r="C16" s="17" t="inlineStr">
        <is>
          <t>Lenta</t>
        </is>
      </c>
      <c r="D16" s="17" t="inlineStr">
        <is>
          <t>Não</t>
        </is>
      </c>
      <c r="E16" s="18" t="n">
        <v>45575</v>
      </c>
      <c r="F16" s="18" t="n">
        <v>45655</v>
      </c>
      <c r="G16" s="17" t="n">
        <v>80</v>
      </c>
      <c r="H16" s="17" t="inlineStr">
        <is>
          <t>Enterprise</t>
        </is>
      </c>
      <c r="I16" s="17" t="inlineStr">
        <is>
          <t>annual</t>
        </is>
      </c>
      <c r="J16" s="17" t="n">
        <v>2</v>
      </c>
      <c r="K16" s="17" t="n">
        <v>6</v>
      </c>
      <c r="L16" s="17" t="inlineStr">
        <is>
          <t>Não</t>
        </is>
      </c>
      <c r="M16" s="17" t="inlineStr">
        <is>
          <t>Sim</t>
        </is>
      </c>
      <c r="N16" s="17" t="inlineStr">
        <is>
          <t>Não</t>
        </is>
      </c>
    </row>
    <row r="17">
      <c r="A17" s="17" t="inlineStr">
        <is>
          <t>S-bbafad</t>
        </is>
      </c>
      <c r="B17" s="17" t="inlineStr">
        <is>
          <t>A-854864</t>
        </is>
      </c>
      <c r="C17" s="17" t="inlineStr">
        <is>
          <t>Rápida</t>
        </is>
      </c>
      <c r="D17" s="17" t="inlineStr">
        <is>
          <t>Sim</t>
        </is>
      </c>
      <c r="E17" s="18" t="n">
        <v>45653</v>
      </c>
      <c r="F17" s="18" t="n">
        <v>45656</v>
      </c>
      <c r="G17" s="17" t="n">
        <v>3</v>
      </c>
      <c r="H17" s="17" t="inlineStr">
        <is>
          <t>Basic</t>
        </is>
      </c>
      <c r="I17" s="17" t="inlineStr">
        <is>
          <t>annual</t>
        </is>
      </c>
      <c r="J17" s="17" t="n">
        <v>20</v>
      </c>
      <c r="K17" s="17" t="n">
        <v>4</v>
      </c>
      <c r="L17" s="17" t="inlineStr">
        <is>
          <t>Não</t>
        </is>
      </c>
      <c r="M17" s="17" t="inlineStr">
        <is>
          <t>Sim</t>
        </is>
      </c>
      <c r="N17" s="17" t="inlineStr">
        <is>
          <t>Sim</t>
        </is>
      </c>
    </row>
    <row r="18">
      <c r="A18" s="17" t="inlineStr">
        <is>
          <t>S-7904d3</t>
        </is>
      </c>
      <c r="B18" s="17" t="inlineStr">
        <is>
          <t>A-d4e0d4</t>
        </is>
      </c>
      <c r="C18" s="17" t="inlineStr">
        <is>
          <t>Rápida</t>
        </is>
      </c>
      <c r="D18" s="17" t="inlineStr">
        <is>
          <t>Não</t>
        </is>
      </c>
      <c r="E18" s="18" t="n">
        <v>45626</v>
      </c>
      <c r="F18" s="18" t="n">
        <v>45629</v>
      </c>
      <c r="G18" s="17" t="n">
        <v>3</v>
      </c>
      <c r="H18" s="17" t="inlineStr">
        <is>
          <t>Enterprise</t>
        </is>
      </c>
      <c r="I18" s="17" t="inlineStr">
        <is>
          <t>monthly</t>
        </is>
      </c>
      <c r="J18" s="17" t="n">
        <v>117</v>
      </c>
      <c r="K18" s="17" t="n">
        <v>7</v>
      </c>
      <c r="L18" s="17" t="inlineStr">
        <is>
          <t>Não</t>
        </is>
      </c>
      <c r="M18" s="17" t="inlineStr">
        <is>
          <t>Não</t>
        </is>
      </c>
      <c r="N18" s="17" t="inlineStr">
        <is>
          <t>Não</t>
        </is>
      </c>
    </row>
    <row r="19">
      <c r="A19" s="17" t="inlineStr">
        <is>
          <t>S-936732</t>
        </is>
      </c>
      <c r="B19" s="17" t="inlineStr">
        <is>
          <t>A-2f6a32</t>
        </is>
      </c>
      <c r="C19" s="17" t="inlineStr">
        <is>
          <t>Rápida</t>
        </is>
      </c>
      <c r="D19" s="17" t="inlineStr">
        <is>
          <t>Não</t>
        </is>
      </c>
      <c r="E19" s="18" t="n">
        <v>45624</v>
      </c>
      <c r="F19" s="18" t="n">
        <v>45632</v>
      </c>
      <c r="G19" s="17" t="n">
        <v>8</v>
      </c>
      <c r="H19" s="17" t="inlineStr">
        <is>
          <t>Pro</t>
        </is>
      </c>
      <c r="I19" s="17" t="inlineStr">
        <is>
          <t>annual</t>
        </is>
      </c>
      <c r="J19" s="17" t="n">
        <v>19</v>
      </c>
      <c r="K19" s="17" t="n">
        <v>8</v>
      </c>
      <c r="L19" s="17" t="inlineStr">
        <is>
          <t>Não</t>
        </is>
      </c>
      <c r="M19" s="17" t="inlineStr">
        <is>
          <t>Sim</t>
        </is>
      </c>
      <c r="N19" s="17" t="inlineStr">
        <is>
          <t>Sim</t>
        </is>
      </c>
    </row>
    <row r="20">
      <c r="A20" s="17" t="inlineStr">
        <is>
          <t>S-c2f293</t>
        </is>
      </c>
      <c r="B20" s="17" t="inlineStr">
        <is>
          <t>A-69b156</t>
        </is>
      </c>
      <c r="C20" s="17" t="inlineStr">
        <is>
          <t>Rápida</t>
        </is>
      </c>
      <c r="D20" s="17" t="inlineStr">
        <is>
          <t>Não</t>
        </is>
      </c>
      <c r="E20" s="18" t="n">
        <v>45636</v>
      </c>
      <c r="F20" s="18" t="n">
        <v>45656</v>
      </c>
      <c r="G20" s="17" t="n">
        <v>20</v>
      </c>
      <c r="H20" s="17" t="inlineStr">
        <is>
          <t>Basic</t>
        </is>
      </c>
      <c r="I20" s="17" t="inlineStr">
        <is>
          <t>monthly</t>
        </is>
      </c>
      <c r="J20" s="17" t="n">
        <v>8</v>
      </c>
      <c r="K20" s="17" t="n">
        <v>7</v>
      </c>
      <c r="L20" s="17" t="inlineStr">
        <is>
          <t>Não</t>
        </is>
      </c>
      <c r="M20" s="17" t="inlineStr">
        <is>
          <t>Não</t>
        </is>
      </c>
      <c r="N20" s="17" t="inlineStr">
        <is>
          <t>Não</t>
        </is>
      </c>
    </row>
    <row r="21">
      <c r="A21" s="17" t="inlineStr">
        <is>
          <t>S-f5f5b3</t>
        </is>
      </c>
      <c r="B21" s="17" t="inlineStr">
        <is>
          <t>A-89ee83</t>
        </is>
      </c>
      <c r="C21" s="17" t="inlineStr">
        <is>
          <t>Rápida</t>
        </is>
      </c>
      <c r="D21" s="17" t="inlineStr">
        <is>
          <t>Não</t>
        </is>
      </c>
      <c r="E21" s="18" t="n">
        <v>45652</v>
      </c>
      <c r="F21" s="18" t="n">
        <v>45655</v>
      </c>
      <c r="G21" s="17" t="n">
        <v>3</v>
      </c>
      <c r="H21" s="17" t="inlineStr">
        <is>
          <t>Basic</t>
        </is>
      </c>
      <c r="I21" s="17" t="inlineStr">
        <is>
          <t>annual</t>
        </is>
      </c>
      <c r="J21" s="17" t="n">
        <v>10</v>
      </c>
      <c r="K21" s="17" t="n">
        <v>10</v>
      </c>
      <c r="L21" s="17" t="inlineStr">
        <is>
          <t>Não</t>
        </is>
      </c>
      <c r="M21" s="17" t="inlineStr">
        <is>
          <t>Sim</t>
        </is>
      </c>
      <c r="N21" s="17" t="inlineStr">
        <is>
          <t>Não</t>
        </is>
      </c>
    </row>
    <row r="22">
      <c r="A22" s="17" t="inlineStr">
        <is>
          <t>S-4afb53</t>
        </is>
      </c>
      <c r="B22" s="17" t="inlineStr">
        <is>
          <t>A-40de06</t>
        </is>
      </c>
      <c r="C22" s="17" t="inlineStr">
        <is>
          <t>Lenta</t>
        </is>
      </c>
      <c r="D22" s="17" t="inlineStr">
        <is>
          <t>Não</t>
        </is>
      </c>
      <c r="E22" s="18" t="n">
        <v>45272</v>
      </c>
      <c r="F22" s="18" t="n">
        <v>45655</v>
      </c>
      <c r="G22" s="17" t="n">
        <v>383</v>
      </c>
      <c r="H22" s="17" t="inlineStr">
        <is>
          <t>Enterprise</t>
        </is>
      </c>
      <c r="I22" s="17" t="inlineStr">
        <is>
          <t>monthly</t>
        </is>
      </c>
      <c r="J22" s="17" t="n">
        <v>28</v>
      </c>
      <c r="K22" s="17" t="n">
        <v>14</v>
      </c>
      <c r="L22" s="17" t="inlineStr">
        <is>
          <t>Não</t>
        </is>
      </c>
      <c r="M22" s="17" t="inlineStr">
        <is>
          <t>Não</t>
        </is>
      </c>
      <c r="N22" s="17" t="inlineStr">
        <is>
          <t>Não</t>
        </is>
      </c>
    </row>
    <row r="23">
      <c r="A23" s="17" t="inlineStr">
        <is>
          <t>S-61e53d</t>
        </is>
      </c>
      <c r="B23" s="17" t="inlineStr">
        <is>
          <t>A-d42431</t>
        </is>
      </c>
      <c r="C23" s="17" t="inlineStr">
        <is>
          <t>Rápida</t>
        </is>
      </c>
      <c r="D23" s="17" t="inlineStr">
        <is>
          <t>Não</t>
        </is>
      </c>
      <c r="E23" s="18" t="n">
        <v>45611</v>
      </c>
      <c r="F23" s="18" t="n">
        <v>45640</v>
      </c>
      <c r="G23" s="17" t="n">
        <v>29</v>
      </c>
      <c r="H23" s="17" t="inlineStr">
        <is>
          <t>Basic</t>
        </is>
      </c>
      <c r="I23" s="17" t="inlineStr">
        <is>
          <t>annual</t>
        </is>
      </c>
      <c r="J23" s="17" t="n">
        <v>22</v>
      </c>
      <c r="K23" s="17" t="n">
        <v>8</v>
      </c>
      <c r="L23" s="17" t="inlineStr">
        <is>
          <t>Não</t>
        </is>
      </c>
      <c r="M23" s="17" t="inlineStr">
        <is>
          <t>Sim</t>
        </is>
      </c>
      <c r="N23" s="17" t="inlineStr">
        <is>
          <t>Sim</t>
        </is>
      </c>
    </row>
    <row r="24">
      <c r="A24" s="17" t="inlineStr">
        <is>
          <t>S-93fab3</t>
        </is>
      </c>
      <c r="B24" s="17" t="inlineStr">
        <is>
          <t>A-9f9299</t>
        </is>
      </c>
      <c r="C24" s="17" t="inlineStr">
        <is>
          <t>Lenta</t>
        </is>
      </c>
      <c r="D24" s="17" t="inlineStr">
        <is>
          <t>Não</t>
        </is>
      </c>
      <c r="E24" s="18" t="n">
        <v>45606</v>
      </c>
      <c r="F24" s="18" t="n">
        <v>45657</v>
      </c>
      <c r="G24" s="17" t="n">
        <v>51</v>
      </c>
      <c r="H24" s="17" t="inlineStr">
        <is>
          <t>Pro</t>
        </is>
      </c>
      <c r="I24" s="17" t="inlineStr">
        <is>
          <t>annual</t>
        </is>
      </c>
      <c r="J24" s="17" t="n">
        <v>28</v>
      </c>
      <c r="K24" s="17" t="n">
        <v>12</v>
      </c>
      <c r="L24" s="17" t="inlineStr">
        <is>
          <t>Não</t>
        </is>
      </c>
      <c r="M24" s="17" t="inlineStr">
        <is>
          <t>Não</t>
        </is>
      </c>
      <c r="N24" s="17" t="inlineStr">
        <is>
          <t>Não</t>
        </is>
      </c>
    </row>
    <row r="25">
      <c r="A25" s="17" t="inlineStr">
        <is>
          <t>S-321498</t>
        </is>
      </c>
      <c r="B25" s="17" t="inlineStr">
        <is>
          <t>A-3a7284</t>
        </is>
      </c>
      <c r="C25" s="17" t="inlineStr">
        <is>
          <t>Rápida</t>
        </is>
      </c>
      <c r="D25" s="17" t="inlineStr">
        <is>
          <t>Não</t>
        </is>
      </c>
      <c r="E25" s="18" t="n">
        <v>45651</v>
      </c>
      <c r="F25" s="18" t="n">
        <v>45657</v>
      </c>
      <c r="G25" s="17" t="n">
        <v>6</v>
      </c>
      <c r="H25" s="17" t="inlineStr">
        <is>
          <t>Pro</t>
        </is>
      </c>
      <c r="I25" s="17" t="inlineStr">
        <is>
          <t>monthly</t>
        </is>
      </c>
      <c r="J25" s="17" t="n">
        <v>31</v>
      </c>
      <c r="K25" s="17" t="n">
        <v>9</v>
      </c>
      <c r="L25" s="17" t="inlineStr">
        <is>
          <t>Não</t>
        </is>
      </c>
      <c r="M25" s="17" t="inlineStr">
        <is>
          <t>Sim</t>
        </is>
      </c>
      <c r="N25" s="17" t="inlineStr">
        <is>
          <t>Sim</t>
        </is>
      </c>
    </row>
    <row r="26">
      <c r="A26" s="17" t="inlineStr">
        <is>
          <t>S-63e282</t>
        </is>
      </c>
      <c r="B26" s="17" t="inlineStr">
        <is>
          <t>A-6a4e2d</t>
        </is>
      </c>
      <c r="C26" s="17" t="inlineStr">
        <is>
          <t>Rápida</t>
        </is>
      </c>
      <c r="D26" s="17" t="inlineStr">
        <is>
          <t>Não</t>
        </is>
      </c>
      <c r="E26" s="18" t="n">
        <v>45580</v>
      </c>
      <c r="F26" s="18" t="n">
        <v>45603</v>
      </c>
      <c r="G26" s="17" t="n">
        <v>23</v>
      </c>
      <c r="H26" s="17" t="inlineStr">
        <is>
          <t>Pro</t>
        </is>
      </c>
      <c r="I26" s="17" t="inlineStr">
        <is>
          <t>annual</t>
        </is>
      </c>
      <c r="J26" s="17" t="n">
        <v>14</v>
      </c>
      <c r="K26" s="17" t="n">
        <v>8</v>
      </c>
      <c r="L26" s="17" t="inlineStr">
        <is>
          <t>Não</t>
        </is>
      </c>
      <c r="M26" s="17" t="inlineStr">
        <is>
          <t>Não</t>
        </is>
      </c>
      <c r="N26" s="17" t="inlineStr">
        <is>
          <t>Não</t>
        </is>
      </c>
    </row>
    <row r="27">
      <c r="A27" s="17" t="inlineStr">
        <is>
          <t>S-ef2a21</t>
        </is>
      </c>
      <c r="B27" s="17" t="inlineStr">
        <is>
          <t>A-427b69</t>
        </is>
      </c>
      <c r="C27" s="17" t="inlineStr">
        <is>
          <t>Rápida</t>
        </is>
      </c>
      <c r="D27" s="17" t="inlineStr">
        <is>
          <t>Não</t>
        </is>
      </c>
      <c r="E27" s="18" t="n">
        <v>45624</v>
      </c>
      <c r="F27" s="18" t="n">
        <v>45635</v>
      </c>
      <c r="G27" s="17" t="n">
        <v>11</v>
      </c>
      <c r="H27" s="17" t="inlineStr">
        <is>
          <t>Pro</t>
        </is>
      </c>
      <c r="I27" s="17" t="inlineStr">
        <is>
          <t>annual</t>
        </is>
      </c>
      <c r="J27" s="17" t="n">
        <v>36</v>
      </c>
      <c r="K27" s="17" t="n">
        <v>8</v>
      </c>
      <c r="L27" s="17" t="inlineStr">
        <is>
          <t>Não</t>
        </is>
      </c>
      <c r="M27" s="17" t="inlineStr">
        <is>
          <t>Sim</t>
        </is>
      </c>
      <c r="N27" s="17" t="inlineStr">
        <is>
          <t>Não</t>
        </is>
      </c>
    </row>
    <row r="28">
      <c r="A28" s="17" t="inlineStr">
        <is>
          <t>S-42aaf0</t>
        </is>
      </c>
      <c r="B28" s="17" t="inlineStr">
        <is>
          <t>A-6da850</t>
        </is>
      </c>
      <c r="C28" s="17" t="inlineStr">
        <is>
          <t>Rápida</t>
        </is>
      </c>
      <c r="D28" s="17" t="inlineStr">
        <is>
          <t>Não</t>
        </is>
      </c>
      <c r="E28" s="18" t="n">
        <v>45657</v>
      </c>
      <c r="F28" s="18" t="n">
        <v>45657</v>
      </c>
      <c r="G28" s="17" t="n">
        <v>0</v>
      </c>
      <c r="H28" s="17" t="inlineStr">
        <is>
          <t>Basic</t>
        </is>
      </c>
      <c r="I28" s="17" t="inlineStr">
        <is>
          <t>annual</t>
        </is>
      </c>
      <c r="J28" s="17" t="n">
        <v>6</v>
      </c>
      <c r="K28" s="17" t="n">
        <v>13</v>
      </c>
      <c r="L28" s="17" t="inlineStr">
        <is>
          <t>Não</t>
        </is>
      </c>
      <c r="M28" s="17" t="inlineStr">
        <is>
          <t>Sim</t>
        </is>
      </c>
      <c r="N28" s="17" t="inlineStr">
        <is>
          <t>Não</t>
        </is>
      </c>
    </row>
    <row r="29">
      <c r="A29" s="17" t="inlineStr">
        <is>
          <t>S-c4c9ce</t>
        </is>
      </c>
      <c r="B29" s="17" t="inlineStr">
        <is>
          <t>A-625d0b</t>
        </is>
      </c>
      <c r="C29" s="17" t="inlineStr">
        <is>
          <t>Rápida</t>
        </is>
      </c>
      <c r="D29" s="17" t="inlineStr">
        <is>
          <t>Não</t>
        </is>
      </c>
      <c r="E29" s="18" t="n">
        <v>45612</v>
      </c>
      <c r="F29" s="18" t="n">
        <v>45618</v>
      </c>
      <c r="G29" s="17" t="n">
        <v>6</v>
      </c>
      <c r="H29" s="17" t="inlineStr">
        <is>
          <t>Enterprise</t>
        </is>
      </c>
      <c r="I29" s="17" t="inlineStr">
        <is>
          <t>monthly</t>
        </is>
      </c>
      <c r="J29" s="17" t="n">
        <v>10</v>
      </c>
      <c r="K29" s="17" t="n">
        <v>8</v>
      </c>
      <c r="L29" s="17" t="inlineStr">
        <is>
          <t>Não</t>
        </is>
      </c>
      <c r="M29" s="17" t="inlineStr">
        <is>
          <t>Sim</t>
        </is>
      </c>
      <c r="N29" s="17" t="inlineStr">
        <is>
          <t>Não</t>
        </is>
      </c>
    </row>
    <row r="30">
      <c r="A30" s="17" t="inlineStr">
        <is>
          <t>S-984f8b</t>
        </is>
      </c>
      <c r="B30" s="17" t="inlineStr">
        <is>
          <t>A-db5e9e</t>
        </is>
      </c>
      <c r="C30" s="17" t="inlineStr">
        <is>
          <t>Rápida</t>
        </is>
      </c>
      <c r="D30" s="17" t="inlineStr">
        <is>
          <t>Não</t>
        </is>
      </c>
      <c r="E30" s="18" t="n">
        <v>45654</v>
      </c>
      <c r="F30" s="18" t="n">
        <v>45654</v>
      </c>
      <c r="G30" s="17" t="n">
        <v>0</v>
      </c>
      <c r="H30" s="17" t="inlineStr">
        <is>
          <t>Enterprise</t>
        </is>
      </c>
      <c r="I30" s="17" t="inlineStr">
        <is>
          <t>annual</t>
        </is>
      </c>
      <c r="J30" s="17" t="n">
        <v>17</v>
      </c>
      <c r="K30" s="17" t="n">
        <v>7</v>
      </c>
      <c r="L30" s="17" t="inlineStr">
        <is>
          <t>Não</t>
        </is>
      </c>
      <c r="M30" s="17" t="inlineStr">
        <is>
          <t>Sim</t>
        </is>
      </c>
      <c r="N30" s="17" t="inlineStr">
        <is>
          <t>Não</t>
        </is>
      </c>
    </row>
    <row r="31">
      <c r="A31" s="17" t="inlineStr">
        <is>
          <t>S-f243c1</t>
        </is>
      </c>
      <c r="B31" s="17" t="inlineStr">
        <is>
          <t>A-e888d1</t>
        </is>
      </c>
      <c r="C31" s="17" t="inlineStr">
        <is>
          <t>Lenta</t>
        </is>
      </c>
      <c r="D31" s="17" t="inlineStr">
        <is>
          <t>Não</t>
        </is>
      </c>
      <c r="E31" s="18" t="n">
        <v>45363</v>
      </c>
      <c r="F31" s="18" t="n">
        <v>45654</v>
      </c>
      <c r="G31" s="17" t="n">
        <v>291</v>
      </c>
      <c r="H31" s="17" t="inlineStr">
        <is>
          <t>Pro</t>
        </is>
      </c>
      <c r="I31" s="17" t="inlineStr">
        <is>
          <t>annual</t>
        </is>
      </c>
      <c r="J31" s="17" t="n">
        <v>14</v>
      </c>
      <c r="K31" s="17" t="n">
        <v>9</v>
      </c>
      <c r="L31" s="17" t="inlineStr">
        <is>
          <t>Não</t>
        </is>
      </c>
      <c r="M31" s="17" t="inlineStr">
        <is>
          <t>Não</t>
        </is>
      </c>
      <c r="N31" s="17" t="inlineStr">
        <is>
          <t>Não</t>
        </is>
      </c>
    </row>
    <row r="32">
      <c r="A32" s="17" t="inlineStr">
        <is>
          <t>S-8a9db8</t>
        </is>
      </c>
      <c r="B32" s="17" t="inlineStr">
        <is>
          <t>A-474ad4</t>
        </is>
      </c>
      <c r="C32" s="17" t="inlineStr">
        <is>
          <t>Rápida</t>
        </is>
      </c>
      <c r="D32" s="17" t="inlineStr">
        <is>
          <t>Não</t>
        </is>
      </c>
      <c r="E32" s="18" t="n">
        <v>45626</v>
      </c>
      <c r="F32" s="18" t="n">
        <v>45633</v>
      </c>
      <c r="G32" s="17" t="n">
        <v>7</v>
      </c>
      <c r="H32" s="17" t="inlineStr">
        <is>
          <t>Enterprise</t>
        </is>
      </c>
      <c r="I32" s="17" t="inlineStr">
        <is>
          <t>annual</t>
        </is>
      </c>
      <c r="J32" s="17" t="n">
        <v>8</v>
      </c>
      <c r="K32" s="17" t="n">
        <v>12</v>
      </c>
      <c r="L32" s="17" t="inlineStr">
        <is>
          <t>Não</t>
        </is>
      </c>
      <c r="M32" s="17" t="inlineStr">
        <is>
          <t>Sim</t>
        </is>
      </c>
      <c r="N32" s="17" t="inlineStr">
        <is>
          <t>Não</t>
        </is>
      </c>
    </row>
    <row r="33">
      <c r="A33" s="17" t="inlineStr">
        <is>
          <t>S-f965de</t>
        </is>
      </c>
      <c r="B33" s="17" t="inlineStr">
        <is>
          <t>A-ab438f</t>
        </is>
      </c>
      <c r="C33" s="17" t="inlineStr">
        <is>
          <t>Lenta</t>
        </is>
      </c>
      <c r="D33" s="17" t="inlineStr">
        <is>
          <t>Não</t>
        </is>
      </c>
      <c r="E33" s="18" t="n">
        <v>45585</v>
      </c>
      <c r="F33" s="18" t="n">
        <v>45644</v>
      </c>
      <c r="G33" s="17" t="n">
        <v>59</v>
      </c>
      <c r="H33" s="17" t="inlineStr">
        <is>
          <t>Pro</t>
        </is>
      </c>
      <c r="I33" s="17" t="inlineStr">
        <is>
          <t>monthly</t>
        </is>
      </c>
      <c r="J33" s="17" t="n">
        <v>64</v>
      </c>
      <c r="K33" s="17" t="n">
        <v>5</v>
      </c>
      <c r="L33" s="17" t="inlineStr">
        <is>
          <t>Não</t>
        </is>
      </c>
      <c r="M33" s="17" t="inlineStr">
        <is>
          <t>Sim</t>
        </is>
      </c>
      <c r="N33" s="17" t="inlineStr">
        <is>
          <t>Não</t>
        </is>
      </c>
    </row>
    <row r="34">
      <c r="A34" s="17" t="inlineStr">
        <is>
          <t>S-75c1b4</t>
        </is>
      </c>
      <c r="B34" s="17" t="inlineStr">
        <is>
          <t>A-5a3eb9</t>
        </is>
      </c>
      <c r="C34" s="17" t="inlineStr">
        <is>
          <t>Rápida</t>
        </is>
      </c>
      <c r="D34" s="17" t="inlineStr">
        <is>
          <t>Não</t>
        </is>
      </c>
      <c r="E34" s="18" t="n">
        <v>45636</v>
      </c>
      <c r="F34" s="18" t="n">
        <v>45654</v>
      </c>
      <c r="G34" s="17" t="n">
        <v>18</v>
      </c>
      <c r="H34" s="17" t="inlineStr">
        <is>
          <t>Pro</t>
        </is>
      </c>
      <c r="I34" s="17" t="inlineStr">
        <is>
          <t>annual</t>
        </is>
      </c>
      <c r="J34" s="17" t="n">
        <v>18</v>
      </c>
      <c r="K34" s="17" t="n">
        <v>12</v>
      </c>
      <c r="L34" s="17" t="inlineStr">
        <is>
          <t>Não</t>
        </is>
      </c>
      <c r="M34" s="17" t="inlineStr">
        <is>
          <t>Não</t>
        </is>
      </c>
      <c r="N34" s="17" t="inlineStr">
        <is>
          <t>Não</t>
        </is>
      </c>
    </row>
    <row r="35">
      <c r="A35" s="17" t="inlineStr">
        <is>
          <t>S-d449e1</t>
        </is>
      </c>
      <c r="B35" s="17" t="inlineStr">
        <is>
          <t>A-ccabf0</t>
        </is>
      </c>
      <c r="C35" s="17" t="inlineStr">
        <is>
          <t>Rápida</t>
        </is>
      </c>
      <c r="D35" s="17" t="inlineStr">
        <is>
          <t>Não</t>
        </is>
      </c>
      <c r="E35" s="18" t="n">
        <v>45580</v>
      </c>
      <c r="F35" s="18" t="n">
        <v>45602</v>
      </c>
      <c r="G35" s="17" t="n">
        <v>22</v>
      </c>
      <c r="H35" s="17" t="inlineStr">
        <is>
          <t>Basic</t>
        </is>
      </c>
      <c r="I35" s="17" t="inlineStr">
        <is>
          <t>annual</t>
        </is>
      </c>
      <c r="J35" s="17" t="n">
        <v>25</v>
      </c>
      <c r="K35" s="17" t="n">
        <v>9</v>
      </c>
      <c r="L35" s="17" t="inlineStr">
        <is>
          <t>Não</t>
        </is>
      </c>
      <c r="M35" s="17" t="inlineStr">
        <is>
          <t>Não</t>
        </is>
      </c>
      <c r="N35" s="17" t="inlineStr">
        <is>
          <t>Não</t>
        </is>
      </c>
    </row>
    <row r="36">
      <c r="A36" s="17" t="inlineStr">
        <is>
          <t>S-bdc6b7</t>
        </is>
      </c>
      <c r="B36" s="17" t="inlineStr">
        <is>
          <t>A-7f29a7</t>
        </is>
      </c>
      <c r="C36" s="17" t="inlineStr">
        <is>
          <t>Rápida</t>
        </is>
      </c>
      <c r="D36" s="17" t="inlineStr">
        <is>
          <t>Não</t>
        </is>
      </c>
      <c r="E36" s="18" t="n">
        <v>45628</v>
      </c>
      <c r="F36" s="18" t="n">
        <v>45651</v>
      </c>
      <c r="G36" s="17" t="n">
        <v>23</v>
      </c>
      <c r="H36" s="17" t="inlineStr">
        <is>
          <t>Enterprise</t>
        </is>
      </c>
      <c r="I36" s="17" t="inlineStr">
        <is>
          <t>monthly</t>
        </is>
      </c>
      <c r="J36" s="17" t="n">
        <v>41</v>
      </c>
      <c r="K36" s="17" t="n">
        <v>8</v>
      </c>
      <c r="L36" s="17" t="inlineStr">
        <is>
          <t>Não</t>
        </is>
      </c>
      <c r="M36" s="17" t="inlineStr">
        <is>
          <t>Sim</t>
        </is>
      </c>
      <c r="N36" s="17" t="inlineStr">
        <is>
          <t>Sim</t>
        </is>
      </c>
    </row>
    <row r="37">
      <c r="A37" s="17" t="inlineStr">
        <is>
          <t>S-49aa80</t>
        </is>
      </c>
      <c r="B37" s="17" t="inlineStr">
        <is>
          <t>A-a45270</t>
        </is>
      </c>
      <c r="C37" s="17" t="inlineStr">
        <is>
          <t>Rápida</t>
        </is>
      </c>
      <c r="D37" s="17" t="inlineStr">
        <is>
          <t>Não</t>
        </is>
      </c>
      <c r="E37" s="18" t="n">
        <v>45648</v>
      </c>
      <c r="F37" s="18" t="n">
        <v>45656</v>
      </c>
      <c r="G37" s="17" t="n">
        <v>8</v>
      </c>
      <c r="H37" s="17" t="inlineStr">
        <is>
          <t>Pro</t>
        </is>
      </c>
      <c r="I37" s="17" t="inlineStr">
        <is>
          <t>monthly</t>
        </is>
      </c>
      <c r="J37" s="17" t="n">
        <v>3</v>
      </c>
      <c r="K37" s="17" t="n">
        <v>11</v>
      </c>
      <c r="L37" s="17" t="inlineStr">
        <is>
          <t>Não</t>
        </is>
      </c>
      <c r="M37" s="17" t="inlineStr">
        <is>
          <t>Sim</t>
        </is>
      </c>
      <c r="N37" s="17" t="inlineStr">
        <is>
          <t>Não</t>
        </is>
      </c>
    </row>
    <row r="38">
      <c r="A38" s="17" t="inlineStr">
        <is>
          <t>S-e1fa5b</t>
        </is>
      </c>
      <c r="B38" s="17" t="inlineStr">
        <is>
          <t>A-157070</t>
        </is>
      </c>
      <c r="C38" s="17" t="inlineStr">
        <is>
          <t>Rápida</t>
        </is>
      </c>
      <c r="D38" s="17" t="inlineStr">
        <is>
          <t>Não</t>
        </is>
      </c>
      <c r="E38" s="18" t="n">
        <v>45634</v>
      </c>
      <c r="F38" s="18" t="n">
        <v>45651</v>
      </c>
      <c r="G38" s="17" t="n">
        <v>17</v>
      </c>
      <c r="H38" s="17" t="inlineStr">
        <is>
          <t>Enterprise</t>
        </is>
      </c>
      <c r="I38" s="17" t="inlineStr">
        <is>
          <t>monthly</t>
        </is>
      </c>
      <c r="J38" s="17" t="n">
        <v>16</v>
      </c>
      <c r="K38" s="17" t="n">
        <v>13</v>
      </c>
      <c r="L38" s="17" t="inlineStr">
        <is>
          <t>Não</t>
        </is>
      </c>
      <c r="M38" s="17" t="inlineStr">
        <is>
          <t>Sim</t>
        </is>
      </c>
      <c r="N38" s="17" t="inlineStr">
        <is>
          <t>Não</t>
        </is>
      </c>
    </row>
    <row r="39">
      <c r="A39" s="17" t="inlineStr">
        <is>
          <t>S-e6a17a</t>
        </is>
      </c>
      <c r="B39" s="17" t="inlineStr">
        <is>
          <t>A-039727</t>
        </is>
      </c>
      <c r="C39" s="17" t="inlineStr">
        <is>
          <t>Rápida</t>
        </is>
      </c>
      <c r="D39" s="17" t="inlineStr">
        <is>
          <t>Não</t>
        </is>
      </c>
      <c r="E39" s="18" t="n">
        <v>45645</v>
      </c>
      <c r="F39" s="18" t="n">
        <v>45656</v>
      </c>
      <c r="G39" s="17" t="n">
        <v>11</v>
      </c>
      <c r="H39" s="17" t="inlineStr">
        <is>
          <t>Enterprise</t>
        </is>
      </c>
      <c r="I39" s="17" t="inlineStr">
        <is>
          <t>annual</t>
        </is>
      </c>
      <c r="J39" s="17" t="n">
        <v>25</v>
      </c>
      <c r="K39" s="17" t="n">
        <v>14</v>
      </c>
      <c r="L39" s="17" t="inlineStr">
        <is>
          <t>Não</t>
        </is>
      </c>
      <c r="M39" s="17" t="inlineStr">
        <is>
          <t>Não</t>
        </is>
      </c>
      <c r="N39" s="17" t="inlineStr">
        <is>
          <t>Não</t>
        </is>
      </c>
    </row>
    <row r="40">
      <c r="A40" s="17" t="inlineStr">
        <is>
          <t>S-c2fd82</t>
        </is>
      </c>
      <c r="B40" s="17" t="inlineStr">
        <is>
          <t>A-84ebe4</t>
        </is>
      </c>
      <c r="C40" s="17" t="inlineStr">
        <is>
          <t>Lenta</t>
        </is>
      </c>
      <c r="D40" s="17" t="inlineStr">
        <is>
          <t>Não</t>
        </is>
      </c>
      <c r="E40" s="18" t="n">
        <v>45472</v>
      </c>
      <c r="F40" s="18" t="n">
        <v>45602</v>
      </c>
      <c r="G40" s="17" t="n">
        <v>130</v>
      </c>
      <c r="H40" s="17" t="inlineStr">
        <is>
          <t>Enterprise</t>
        </is>
      </c>
      <c r="I40" s="17" t="inlineStr">
        <is>
          <t>monthly</t>
        </is>
      </c>
      <c r="J40" s="17" t="n">
        <v>82</v>
      </c>
      <c r="K40" s="17" t="n">
        <v>8</v>
      </c>
      <c r="L40" s="17" t="inlineStr">
        <is>
          <t>Não</t>
        </is>
      </c>
      <c r="M40" s="17" t="inlineStr">
        <is>
          <t>Não</t>
        </is>
      </c>
      <c r="N40" s="17" t="inlineStr">
        <is>
          <t>Não</t>
        </is>
      </c>
    </row>
    <row r="41">
      <c r="A41" s="17" t="inlineStr">
        <is>
          <t>S-0f0d3a</t>
        </is>
      </c>
      <c r="B41" s="17" t="inlineStr">
        <is>
          <t>A-ad296b</t>
        </is>
      </c>
      <c r="C41" s="17" t="inlineStr">
        <is>
          <t>Rápida</t>
        </is>
      </c>
      <c r="D41" s="17" t="inlineStr">
        <is>
          <t>Não</t>
        </is>
      </c>
      <c r="E41" s="18" t="n">
        <v>45612</v>
      </c>
      <c r="F41" s="18" t="n">
        <v>45616</v>
      </c>
      <c r="G41" s="17" t="n">
        <v>4</v>
      </c>
      <c r="H41" s="17" t="inlineStr">
        <is>
          <t>Basic</t>
        </is>
      </c>
      <c r="I41" s="17" t="inlineStr">
        <is>
          <t>annual</t>
        </is>
      </c>
      <c r="J41" s="17" t="n">
        <v>38</v>
      </c>
      <c r="K41" s="17" t="n">
        <v>4</v>
      </c>
      <c r="L41" s="17" t="inlineStr">
        <is>
          <t>Não</t>
        </is>
      </c>
      <c r="M41" s="17" t="inlineStr">
        <is>
          <t>Não</t>
        </is>
      </c>
      <c r="N41" s="17" t="inlineStr">
        <is>
          <t>Não</t>
        </is>
      </c>
    </row>
    <row r="42">
      <c r="A42" s="17" t="inlineStr">
        <is>
          <t>S-712f3a</t>
        </is>
      </c>
      <c r="B42" s="17" t="inlineStr">
        <is>
          <t>A-eb1312</t>
        </is>
      </c>
      <c r="C42" s="17" t="inlineStr">
        <is>
          <t>Lenta</t>
        </is>
      </c>
      <c r="D42" s="17" t="inlineStr">
        <is>
          <t>Não</t>
        </is>
      </c>
      <c r="E42" s="18" t="n">
        <v>45616</v>
      </c>
      <c r="F42" s="18" t="n">
        <v>45652</v>
      </c>
      <c r="G42" s="17" t="n">
        <v>36</v>
      </c>
      <c r="H42" s="17" t="inlineStr">
        <is>
          <t>Basic</t>
        </is>
      </c>
      <c r="I42" s="17" t="inlineStr">
        <is>
          <t>monthly</t>
        </is>
      </c>
      <c r="J42" s="17" t="n">
        <v>25</v>
      </c>
      <c r="K42" s="17" t="n">
        <v>9</v>
      </c>
      <c r="L42" s="17" t="inlineStr">
        <is>
          <t>Não</t>
        </is>
      </c>
      <c r="M42" s="17" t="inlineStr">
        <is>
          <t>Sim</t>
        </is>
      </c>
      <c r="N42" s="17" t="inlineStr">
        <is>
          <t>Sim</t>
        </is>
      </c>
    </row>
    <row r="43">
      <c r="A43" s="17" t="inlineStr">
        <is>
          <t>S-de9ce0</t>
        </is>
      </c>
      <c r="B43" s="17" t="inlineStr">
        <is>
          <t>A-faa28c</t>
        </is>
      </c>
      <c r="C43" s="17" t="inlineStr">
        <is>
          <t>Lenta</t>
        </is>
      </c>
      <c r="D43" s="17" t="inlineStr">
        <is>
          <t>Não</t>
        </is>
      </c>
      <c r="E43" s="18" t="n">
        <v>45510</v>
      </c>
      <c r="F43" s="18" t="n">
        <v>45652</v>
      </c>
      <c r="G43" s="17" t="n">
        <v>142</v>
      </c>
      <c r="H43" s="17" t="inlineStr">
        <is>
          <t>Enterprise</t>
        </is>
      </c>
      <c r="I43" s="17" t="inlineStr">
        <is>
          <t>annual</t>
        </is>
      </c>
      <c r="J43" s="17" t="n">
        <v>48</v>
      </c>
      <c r="K43" s="17" t="n">
        <v>12</v>
      </c>
      <c r="L43" s="17" t="inlineStr">
        <is>
          <t>Não</t>
        </is>
      </c>
      <c r="M43" s="17" t="inlineStr">
        <is>
          <t>Sim</t>
        </is>
      </c>
      <c r="N43" s="17" t="inlineStr">
        <is>
          <t>Sim</t>
        </is>
      </c>
    </row>
    <row r="44">
      <c r="A44" s="17" t="inlineStr">
        <is>
          <t>S-37b59a</t>
        </is>
      </c>
      <c r="B44" s="17" t="inlineStr">
        <is>
          <t>A-2d1036</t>
        </is>
      </c>
      <c r="C44" s="17" t="inlineStr">
        <is>
          <t>Lenta</t>
        </is>
      </c>
      <c r="D44" s="17" t="inlineStr">
        <is>
          <t>Não</t>
        </is>
      </c>
      <c r="E44" s="18" t="n">
        <v>45559</v>
      </c>
      <c r="F44" s="18" t="n">
        <v>45644</v>
      </c>
      <c r="G44" s="17" t="n">
        <v>85</v>
      </c>
      <c r="H44" s="17" t="inlineStr">
        <is>
          <t>Pro</t>
        </is>
      </c>
      <c r="I44" s="17" t="inlineStr">
        <is>
          <t>annual</t>
        </is>
      </c>
      <c r="J44" s="17" t="n">
        <v>69</v>
      </c>
      <c r="K44" s="17" t="n">
        <v>10</v>
      </c>
      <c r="L44" s="17" t="inlineStr">
        <is>
          <t>Não</t>
        </is>
      </c>
      <c r="M44" s="17" t="inlineStr">
        <is>
          <t>Sim</t>
        </is>
      </c>
      <c r="N44" s="17" t="inlineStr">
        <is>
          <t>Sim</t>
        </is>
      </c>
    </row>
    <row r="45">
      <c r="A45" s="17" t="inlineStr">
        <is>
          <t>S-1131ff</t>
        </is>
      </c>
      <c r="B45" s="17" t="inlineStr">
        <is>
          <t>A-0f7d77</t>
        </is>
      </c>
      <c r="C45" s="17" t="inlineStr">
        <is>
          <t>Lenta</t>
        </is>
      </c>
      <c r="D45" s="17" t="inlineStr">
        <is>
          <t>Não</t>
        </is>
      </c>
      <c r="E45" s="18" t="n">
        <v>45627</v>
      </c>
      <c r="F45" s="18" t="n">
        <v>45657</v>
      </c>
      <c r="G45" s="17" t="n">
        <v>30</v>
      </c>
      <c r="H45" s="17" t="inlineStr">
        <is>
          <t>Basic</t>
        </is>
      </c>
      <c r="I45" s="17" t="inlineStr">
        <is>
          <t>monthly</t>
        </is>
      </c>
      <c r="J45" s="17" t="n">
        <v>3</v>
      </c>
      <c r="K45" s="17" t="n">
        <v>5</v>
      </c>
      <c r="L45" s="17" t="inlineStr">
        <is>
          <t>Não</t>
        </is>
      </c>
      <c r="M45" s="17" t="inlineStr">
        <is>
          <t>Sim</t>
        </is>
      </c>
      <c r="N45" s="17" t="inlineStr">
        <is>
          <t>Não</t>
        </is>
      </c>
    </row>
    <row r="46">
      <c r="A46" s="17" t="inlineStr">
        <is>
          <t>S-d32441</t>
        </is>
      </c>
      <c r="B46" s="17" t="inlineStr">
        <is>
          <t>A-781cc0</t>
        </is>
      </c>
      <c r="C46" s="17" t="inlineStr">
        <is>
          <t>Lenta</t>
        </is>
      </c>
      <c r="D46" s="17" t="inlineStr">
        <is>
          <t>Não</t>
        </is>
      </c>
      <c r="E46" s="18" t="n">
        <v>45554</v>
      </c>
      <c r="F46" s="18" t="n">
        <v>45620</v>
      </c>
      <c r="G46" s="17" t="n">
        <v>66</v>
      </c>
      <c r="H46" s="17" t="inlineStr">
        <is>
          <t>Enterprise</t>
        </is>
      </c>
      <c r="I46" s="17" t="inlineStr">
        <is>
          <t>annual</t>
        </is>
      </c>
      <c r="J46" s="17" t="n">
        <v>12</v>
      </c>
      <c r="K46" s="17" t="n">
        <v>12</v>
      </c>
      <c r="L46" s="17" t="inlineStr">
        <is>
          <t>Não</t>
        </is>
      </c>
      <c r="M46" s="17" t="inlineStr">
        <is>
          <t>Sim</t>
        </is>
      </c>
      <c r="N46" s="17" t="inlineStr">
        <is>
          <t>Sim</t>
        </is>
      </c>
    </row>
    <row r="47">
      <c r="A47" s="17" t="inlineStr">
        <is>
          <t>S-9b12da</t>
        </is>
      </c>
      <c r="B47" s="17" t="inlineStr">
        <is>
          <t>A-702032</t>
        </is>
      </c>
      <c r="C47" s="17" t="inlineStr">
        <is>
          <t>Rápida</t>
        </is>
      </c>
      <c r="D47" s="17" t="inlineStr">
        <is>
          <t>Não</t>
        </is>
      </c>
      <c r="E47" s="18" t="n">
        <v>45639</v>
      </c>
      <c r="F47" s="18" t="n">
        <v>45647</v>
      </c>
      <c r="G47" s="17" t="n">
        <v>8</v>
      </c>
      <c r="H47" s="17" t="inlineStr">
        <is>
          <t>Pro</t>
        </is>
      </c>
      <c r="I47" s="17" t="inlineStr">
        <is>
          <t>annual</t>
        </is>
      </c>
      <c r="J47" s="17" t="n">
        <v>28</v>
      </c>
      <c r="K47" s="17" t="n">
        <v>4</v>
      </c>
      <c r="L47" s="17" t="inlineStr">
        <is>
          <t>Não</t>
        </is>
      </c>
      <c r="M47" s="17" t="inlineStr">
        <is>
          <t>Não</t>
        </is>
      </c>
      <c r="N47" s="17" t="inlineStr">
        <is>
          <t>Não</t>
        </is>
      </c>
    </row>
    <row r="48">
      <c r="A48" s="17" t="inlineStr">
        <is>
          <t>S-ad26e3</t>
        </is>
      </c>
      <c r="B48" s="17" t="inlineStr">
        <is>
          <t>A-c37601</t>
        </is>
      </c>
      <c r="C48" s="17" t="inlineStr">
        <is>
          <t>Lenta</t>
        </is>
      </c>
      <c r="D48" s="17" t="inlineStr">
        <is>
          <t>Não</t>
        </is>
      </c>
      <c r="E48" s="18" t="n">
        <v>45600</v>
      </c>
      <c r="F48" s="18" t="n">
        <v>45635</v>
      </c>
      <c r="G48" s="17" t="n">
        <v>35</v>
      </c>
      <c r="H48" s="17" t="inlineStr">
        <is>
          <t>Pro</t>
        </is>
      </c>
      <c r="I48" s="17" t="inlineStr">
        <is>
          <t>monthly</t>
        </is>
      </c>
      <c r="J48" s="17" t="n">
        <v>6</v>
      </c>
      <c r="K48" s="17" t="n">
        <v>4</v>
      </c>
      <c r="L48" s="17" t="inlineStr">
        <is>
          <t>Não</t>
        </is>
      </c>
      <c r="M48" s="17" t="inlineStr">
        <is>
          <t>Não</t>
        </is>
      </c>
      <c r="N48" s="17" t="inlineStr">
        <is>
          <t>Não</t>
        </is>
      </c>
    </row>
    <row r="49">
      <c r="A49" s="17" t="inlineStr">
        <is>
          <t>S-4bfa1d</t>
        </is>
      </c>
      <c r="B49" s="17" t="inlineStr">
        <is>
          <t>A-ce550d</t>
        </is>
      </c>
      <c r="C49" s="17" t="inlineStr">
        <is>
          <t>Rápida</t>
        </is>
      </c>
      <c r="D49" s="17" t="inlineStr">
        <is>
          <t>Não</t>
        </is>
      </c>
      <c r="E49" s="18" t="n">
        <v>45647</v>
      </c>
      <c r="F49" s="18" t="n">
        <v>45656</v>
      </c>
      <c r="G49" s="17" t="n">
        <v>9</v>
      </c>
      <c r="H49" s="17" t="inlineStr">
        <is>
          <t>Pro</t>
        </is>
      </c>
      <c r="I49" s="17" t="inlineStr">
        <is>
          <t>monthly</t>
        </is>
      </c>
      <c r="J49" s="17" t="n">
        <v>35</v>
      </c>
      <c r="K49" s="17" t="n">
        <v>7</v>
      </c>
      <c r="L49" s="17" t="inlineStr">
        <is>
          <t>Não</t>
        </is>
      </c>
      <c r="M49" s="17" t="inlineStr">
        <is>
          <t>Sim</t>
        </is>
      </c>
      <c r="N49" s="17" t="inlineStr">
        <is>
          <t>Não</t>
        </is>
      </c>
    </row>
    <row r="50">
      <c r="A50" s="17" t="inlineStr">
        <is>
          <t>S-e561b9</t>
        </is>
      </c>
      <c r="B50" s="17" t="inlineStr">
        <is>
          <t>A-d26ab4</t>
        </is>
      </c>
      <c r="C50" s="17" t="inlineStr">
        <is>
          <t>Rápida</t>
        </is>
      </c>
      <c r="D50" s="17" t="inlineStr">
        <is>
          <t>Não</t>
        </is>
      </c>
      <c r="E50" s="18" t="n">
        <v>45609</v>
      </c>
      <c r="F50" s="18" t="n">
        <v>45626</v>
      </c>
      <c r="G50" s="17" t="n">
        <v>17</v>
      </c>
      <c r="H50" s="17" t="inlineStr">
        <is>
          <t>Pro</t>
        </is>
      </c>
      <c r="I50" s="17" t="inlineStr">
        <is>
          <t>monthly</t>
        </is>
      </c>
      <c r="J50" s="17" t="n">
        <v>18</v>
      </c>
      <c r="K50" s="17" t="n">
        <v>5</v>
      </c>
      <c r="L50" s="17" t="inlineStr">
        <is>
          <t>Não</t>
        </is>
      </c>
      <c r="M50" s="17" t="inlineStr">
        <is>
          <t>Não</t>
        </is>
      </c>
      <c r="N50" s="17" t="inlineStr">
        <is>
          <t>Não</t>
        </is>
      </c>
    </row>
    <row r="51">
      <c r="A51" s="17" t="inlineStr">
        <is>
          <t>S-8ff318</t>
        </is>
      </c>
      <c r="B51" s="17" t="inlineStr">
        <is>
          <t>A-e7beab</t>
        </is>
      </c>
      <c r="C51" s="17" t="inlineStr">
        <is>
          <t>Rápida</t>
        </is>
      </c>
      <c r="D51" s="17" t="inlineStr">
        <is>
          <t>Não</t>
        </is>
      </c>
      <c r="E51" s="18" t="n">
        <v>45649</v>
      </c>
      <c r="F51" s="18" t="n">
        <v>45655</v>
      </c>
      <c r="G51" s="17" t="n">
        <v>6</v>
      </c>
      <c r="H51" s="17" t="inlineStr">
        <is>
          <t>Pro</t>
        </is>
      </c>
      <c r="I51" s="17" t="inlineStr">
        <is>
          <t>monthly</t>
        </is>
      </c>
      <c r="J51" s="17" t="n">
        <v>5</v>
      </c>
      <c r="K51" s="17" t="n">
        <v>4</v>
      </c>
      <c r="L51" s="17" t="inlineStr">
        <is>
          <t>Não</t>
        </is>
      </c>
      <c r="M51" s="17" t="inlineStr">
        <is>
          <t>Não</t>
        </is>
      </c>
      <c r="N51" s="17" t="inlineStr">
        <is>
          <t>Não</t>
        </is>
      </c>
    </row>
    <row r="52">
      <c r="A52" s="17" t="inlineStr">
        <is>
          <t>S-0509b8</t>
        </is>
      </c>
      <c r="B52" s="17" t="inlineStr">
        <is>
          <t>A-e351e1</t>
        </is>
      </c>
      <c r="C52" s="17" t="inlineStr">
        <is>
          <t>Rápida</t>
        </is>
      </c>
      <c r="D52" s="17" t="inlineStr">
        <is>
          <t>Não</t>
        </is>
      </c>
      <c r="E52" s="18" t="n">
        <v>45652</v>
      </c>
      <c r="F52" s="18" t="n">
        <v>45655</v>
      </c>
      <c r="G52" s="17" t="n">
        <v>3</v>
      </c>
      <c r="H52" s="17" t="inlineStr">
        <is>
          <t>Basic</t>
        </is>
      </c>
      <c r="I52" s="17" t="inlineStr">
        <is>
          <t>annual</t>
        </is>
      </c>
      <c r="J52" s="17" t="n">
        <v>33</v>
      </c>
      <c r="K52" s="17" t="n">
        <v>4</v>
      </c>
      <c r="L52" s="17" t="inlineStr">
        <is>
          <t>Não</t>
        </is>
      </c>
      <c r="M52" s="17" t="inlineStr">
        <is>
          <t>Não</t>
        </is>
      </c>
      <c r="N52" s="17" t="inlineStr">
        <is>
          <t>Não</t>
        </is>
      </c>
    </row>
    <row r="53">
      <c r="A53" s="17" t="inlineStr">
        <is>
          <t>S-aba835</t>
        </is>
      </c>
      <c r="B53" s="17" t="inlineStr">
        <is>
          <t>A-5b1bcd</t>
        </is>
      </c>
      <c r="C53" s="17" t="inlineStr">
        <is>
          <t>Lenta</t>
        </is>
      </c>
      <c r="D53" s="17" t="inlineStr">
        <is>
          <t>Não</t>
        </is>
      </c>
      <c r="E53" s="18" t="n">
        <v>45192</v>
      </c>
      <c r="F53" s="18" t="n">
        <v>45598</v>
      </c>
      <c r="G53" s="17" t="n">
        <v>406</v>
      </c>
      <c r="H53" s="17" t="inlineStr">
        <is>
          <t>Basic</t>
        </is>
      </c>
      <c r="I53" s="17" t="inlineStr">
        <is>
          <t>annual</t>
        </is>
      </c>
      <c r="J53" s="17" t="n">
        <v>73</v>
      </c>
      <c r="K53" s="17" t="n">
        <v>13</v>
      </c>
      <c r="L53" s="17" t="inlineStr">
        <is>
          <t>Não</t>
        </is>
      </c>
      <c r="M53" s="17" t="inlineStr">
        <is>
          <t>Não</t>
        </is>
      </c>
      <c r="N53" s="17" t="inlineStr">
        <is>
          <t>Não</t>
        </is>
      </c>
    </row>
    <row r="54">
      <c r="A54" s="17" t="inlineStr">
        <is>
          <t>S-d6d433</t>
        </is>
      </c>
      <c r="B54" s="17" t="inlineStr">
        <is>
          <t>A-5247b3</t>
        </is>
      </c>
      <c r="C54" s="17" t="inlineStr">
        <is>
          <t>Lenta</t>
        </is>
      </c>
      <c r="D54" s="17" t="inlineStr">
        <is>
          <t>Não</t>
        </is>
      </c>
      <c r="E54" s="18" t="n">
        <v>45457</v>
      </c>
      <c r="F54" s="18" t="n">
        <v>45615</v>
      </c>
      <c r="G54" s="17" t="n">
        <v>158</v>
      </c>
      <c r="H54" s="17" t="inlineStr">
        <is>
          <t>Basic</t>
        </is>
      </c>
      <c r="I54" s="17" t="inlineStr">
        <is>
          <t>annual</t>
        </is>
      </c>
      <c r="J54" s="17" t="n">
        <v>16</v>
      </c>
      <c r="K54" s="17" t="n">
        <v>9</v>
      </c>
      <c r="L54" s="17" t="inlineStr">
        <is>
          <t>Não</t>
        </is>
      </c>
      <c r="M54" s="17" t="inlineStr">
        <is>
          <t>Sim</t>
        </is>
      </c>
      <c r="N54" s="17" t="inlineStr">
        <is>
          <t>Não</t>
        </is>
      </c>
    </row>
    <row r="55">
      <c r="A55" s="17" t="inlineStr">
        <is>
          <t>S-02be35</t>
        </is>
      </c>
      <c r="B55" s="17" t="inlineStr">
        <is>
          <t>A-e08cd3</t>
        </is>
      </c>
      <c r="C55" s="17" t="inlineStr">
        <is>
          <t>Lenta</t>
        </is>
      </c>
      <c r="D55" s="17" t="inlineStr">
        <is>
          <t>Não</t>
        </is>
      </c>
      <c r="E55" s="18" t="n">
        <v>45566</v>
      </c>
      <c r="F55" s="18" t="n">
        <v>45647</v>
      </c>
      <c r="G55" s="17" t="n">
        <v>81</v>
      </c>
      <c r="H55" s="17" t="inlineStr">
        <is>
          <t>Pro</t>
        </is>
      </c>
      <c r="I55" s="17" t="inlineStr">
        <is>
          <t>monthly</t>
        </is>
      </c>
      <c r="J55" s="17" t="n">
        <v>67</v>
      </c>
      <c r="K55" s="17" t="n">
        <v>9</v>
      </c>
      <c r="L55" s="17" t="inlineStr">
        <is>
          <t>Não</t>
        </is>
      </c>
      <c r="M55" s="17" t="inlineStr">
        <is>
          <t>Sim</t>
        </is>
      </c>
      <c r="N55" s="17" t="inlineStr">
        <is>
          <t>Sim</t>
        </is>
      </c>
    </row>
    <row r="56">
      <c r="A56" s="17" t="inlineStr">
        <is>
          <t>S-3ee7c3</t>
        </is>
      </c>
      <c r="B56" s="17" t="inlineStr">
        <is>
          <t>A-cdf020</t>
        </is>
      </c>
      <c r="C56" s="17" t="inlineStr">
        <is>
          <t>Lenta</t>
        </is>
      </c>
      <c r="D56" s="17" t="inlineStr">
        <is>
          <t>Não</t>
        </is>
      </c>
      <c r="E56" s="18" t="n">
        <v>45388</v>
      </c>
      <c r="F56" s="18" t="n">
        <v>45606</v>
      </c>
      <c r="G56" s="17" t="n">
        <v>218</v>
      </c>
      <c r="H56" s="17" t="inlineStr">
        <is>
          <t>Enterprise</t>
        </is>
      </c>
      <c r="I56" s="17" t="inlineStr">
        <is>
          <t>monthly</t>
        </is>
      </c>
      <c r="J56" s="17" t="n">
        <v>23</v>
      </c>
      <c r="K56" s="17" t="n">
        <v>5</v>
      </c>
      <c r="L56" s="17" t="inlineStr">
        <is>
          <t>Não</t>
        </is>
      </c>
      <c r="M56" s="17" t="inlineStr">
        <is>
          <t>Não</t>
        </is>
      </c>
      <c r="N56" s="17" t="inlineStr">
        <is>
          <t>Não</t>
        </is>
      </c>
    </row>
    <row r="57">
      <c r="A57" s="17" t="inlineStr">
        <is>
          <t>S-7a9d40</t>
        </is>
      </c>
      <c r="B57" s="17" t="inlineStr">
        <is>
          <t>A-157070</t>
        </is>
      </c>
      <c r="C57" s="17" t="inlineStr">
        <is>
          <t>Rápida</t>
        </is>
      </c>
      <c r="D57" s="17" t="inlineStr">
        <is>
          <t>Não</t>
        </is>
      </c>
      <c r="E57" s="18" t="n">
        <v>45644</v>
      </c>
      <c r="F57" s="18" t="n">
        <v>45652</v>
      </c>
      <c r="G57" s="17" t="n">
        <v>8</v>
      </c>
      <c r="H57" s="17" t="inlineStr">
        <is>
          <t>Basic</t>
        </is>
      </c>
      <c r="I57" s="17" t="inlineStr">
        <is>
          <t>annual</t>
        </is>
      </c>
      <c r="J57" s="17" t="n">
        <v>38</v>
      </c>
      <c r="K57" s="17" t="n">
        <v>12</v>
      </c>
      <c r="L57" s="17" t="inlineStr">
        <is>
          <t>Não</t>
        </is>
      </c>
      <c r="M57" s="17" t="inlineStr">
        <is>
          <t>Não</t>
        </is>
      </c>
      <c r="N57" s="17" t="inlineStr">
        <is>
          <t>Não</t>
        </is>
      </c>
    </row>
    <row r="58">
      <c r="A58" s="17" t="inlineStr">
        <is>
          <t>S-8c767b</t>
        </is>
      </c>
      <c r="B58" s="17" t="inlineStr">
        <is>
          <t>A-b07b56</t>
        </is>
      </c>
      <c r="C58" s="17" t="inlineStr">
        <is>
          <t>Rápida</t>
        </is>
      </c>
      <c r="D58" s="17" t="inlineStr">
        <is>
          <t>Não</t>
        </is>
      </c>
      <c r="E58" s="18" t="n">
        <v>45629</v>
      </c>
      <c r="F58" s="18" t="n">
        <v>45635</v>
      </c>
      <c r="G58" s="17" t="n">
        <v>6</v>
      </c>
      <c r="H58" s="17" t="inlineStr">
        <is>
          <t>Enterprise</t>
        </is>
      </c>
      <c r="I58" s="17" t="inlineStr">
        <is>
          <t>monthly</t>
        </is>
      </c>
      <c r="J58" s="17" t="n">
        <v>29</v>
      </c>
      <c r="K58" s="17" t="n">
        <v>9</v>
      </c>
      <c r="L58" s="17" t="inlineStr">
        <is>
          <t>Não</t>
        </is>
      </c>
      <c r="M58" s="17" t="inlineStr">
        <is>
          <t>Sim</t>
        </is>
      </c>
      <c r="N58" s="17" t="inlineStr">
        <is>
          <t>Não</t>
        </is>
      </c>
    </row>
    <row r="59">
      <c r="A59" s="17" t="inlineStr">
        <is>
          <t>S-8013f6</t>
        </is>
      </c>
      <c r="B59" s="17" t="inlineStr">
        <is>
          <t>A-6a7c9d</t>
        </is>
      </c>
      <c r="C59" s="17" t="inlineStr">
        <is>
          <t>Rápida</t>
        </is>
      </c>
      <c r="D59" s="17" t="inlineStr">
        <is>
          <t>Sim</t>
        </is>
      </c>
      <c r="E59" s="18" t="n">
        <v>45637</v>
      </c>
      <c r="F59" s="18" t="n">
        <v>45646</v>
      </c>
      <c r="G59" s="17" t="n">
        <v>9</v>
      </c>
      <c r="H59" s="17" t="inlineStr">
        <is>
          <t>Basic</t>
        </is>
      </c>
      <c r="I59" s="17" t="inlineStr">
        <is>
          <t>monthly</t>
        </is>
      </c>
      <c r="J59" s="17" t="n">
        <v>47</v>
      </c>
      <c r="K59" s="17" t="n">
        <v>3</v>
      </c>
      <c r="L59" s="17" t="inlineStr">
        <is>
          <t>Não</t>
        </is>
      </c>
      <c r="M59" s="17" t="inlineStr">
        <is>
          <t>Sim</t>
        </is>
      </c>
      <c r="N59" s="17" t="inlineStr">
        <is>
          <t>Não</t>
        </is>
      </c>
    </row>
    <row r="60">
      <c r="A60" s="17" t="inlineStr">
        <is>
          <t>S-dcd084</t>
        </is>
      </c>
      <c r="B60" s="17" t="inlineStr">
        <is>
          <t>A-d27f50</t>
        </is>
      </c>
      <c r="C60" s="17" t="inlineStr">
        <is>
          <t>Rápida</t>
        </is>
      </c>
      <c r="D60" s="17" t="inlineStr">
        <is>
          <t>Não</t>
        </is>
      </c>
      <c r="E60" s="18" t="n">
        <v>45631</v>
      </c>
      <c r="F60" s="18" t="n">
        <v>45635</v>
      </c>
      <c r="G60" s="17" t="n">
        <v>4</v>
      </c>
      <c r="H60" s="17" t="inlineStr">
        <is>
          <t>Enterprise</t>
        </is>
      </c>
      <c r="I60" s="17" t="inlineStr">
        <is>
          <t>annual</t>
        </is>
      </c>
      <c r="J60" s="17" t="n">
        <v>48</v>
      </c>
      <c r="K60" s="17" t="n">
        <v>8</v>
      </c>
      <c r="L60" s="17" t="inlineStr">
        <is>
          <t>Não</t>
        </is>
      </c>
      <c r="M60" s="17" t="inlineStr">
        <is>
          <t>Sim</t>
        </is>
      </c>
      <c r="N60" s="17" t="inlineStr">
        <is>
          <t>Não</t>
        </is>
      </c>
    </row>
    <row r="61">
      <c r="A61" s="17" t="inlineStr">
        <is>
          <t>S-8bfab5</t>
        </is>
      </c>
      <c r="B61" s="17" t="inlineStr">
        <is>
          <t>A-af0cd2</t>
        </is>
      </c>
      <c r="C61" s="17" t="inlineStr">
        <is>
          <t>Lenta</t>
        </is>
      </c>
      <c r="D61" s="17" t="inlineStr">
        <is>
          <t>Não</t>
        </is>
      </c>
      <c r="E61" s="18" t="n">
        <v>45442</v>
      </c>
      <c r="F61" s="18" t="n">
        <v>45640</v>
      </c>
      <c r="G61" s="17" t="n">
        <v>198</v>
      </c>
      <c r="H61" s="17" t="inlineStr">
        <is>
          <t>Pro</t>
        </is>
      </c>
      <c r="I61" s="17" t="inlineStr">
        <is>
          <t>monthly</t>
        </is>
      </c>
      <c r="J61" s="17" t="n">
        <v>19</v>
      </c>
      <c r="K61" s="17" t="n">
        <v>9</v>
      </c>
      <c r="L61" s="17" t="inlineStr">
        <is>
          <t>Não</t>
        </is>
      </c>
      <c r="M61" s="17" t="inlineStr">
        <is>
          <t>Não</t>
        </is>
      </c>
      <c r="N61" s="17" t="inlineStr">
        <is>
          <t>Não</t>
        </is>
      </c>
    </row>
    <row r="62">
      <c r="A62" s="17" t="inlineStr">
        <is>
          <t>S-0a70a3</t>
        </is>
      </c>
      <c r="B62" s="17" t="inlineStr">
        <is>
          <t>A-5b051a</t>
        </is>
      </c>
      <c r="C62" s="17" t="inlineStr">
        <is>
          <t>Lenta</t>
        </is>
      </c>
      <c r="D62" s="17" t="inlineStr">
        <is>
          <t>Não</t>
        </is>
      </c>
      <c r="E62" s="18" t="n">
        <v>45586</v>
      </c>
      <c r="F62" s="18" t="n">
        <v>45650</v>
      </c>
      <c r="G62" s="17" t="n">
        <v>64</v>
      </c>
      <c r="H62" s="17" t="inlineStr">
        <is>
          <t>Basic</t>
        </is>
      </c>
      <c r="I62" s="17" t="inlineStr">
        <is>
          <t>annual</t>
        </is>
      </c>
      <c r="J62" s="17" t="n">
        <v>22</v>
      </c>
      <c r="K62" s="17" t="n">
        <v>2</v>
      </c>
      <c r="L62" s="17" t="inlineStr">
        <is>
          <t>Não</t>
        </is>
      </c>
      <c r="M62" s="17" t="inlineStr">
        <is>
          <t>Sim</t>
        </is>
      </c>
      <c r="N62" s="17" t="inlineStr">
        <is>
          <t>Sim</t>
        </is>
      </c>
    </row>
    <row r="63">
      <c r="A63" s="17" t="inlineStr">
        <is>
          <t>S-f80617</t>
        </is>
      </c>
      <c r="B63" s="17" t="inlineStr">
        <is>
          <t>A-d4ac0e</t>
        </is>
      </c>
      <c r="C63" s="17" t="inlineStr">
        <is>
          <t>Lenta</t>
        </is>
      </c>
      <c r="D63" s="17" t="inlineStr">
        <is>
          <t>Não</t>
        </is>
      </c>
      <c r="E63" s="18" t="n">
        <v>45593</v>
      </c>
      <c r="F63" s="18" t="n">
        <v>45642</v>
      </c>
      <c r="G63" s="17" t="n">
        <v>49</v>
      </c>
      <c r="H63" s="17" t="inlineStr">
        <is>
          <t>Basic</t>
        </is>
      </c>
      <c r="I63" s="17" t="inlineStr">
        <is>
          <t>annual</t>
        </is>
      </c>
      <c r="J63" s="17" t="n">
        <v>18</v>
      </c>
      <c r="K63" s="17" t="n">
        <v>18</v>
      </c>
      <c r="L63" s="17" t="inlineStr">
        <is>
          <t>Não</t>
        </is>
      </c>
      <c r="M63" s="17" t="inlineStr">
        <is>
          <t>Sim</t>
        </is>
      </c>
      <c r="N63" s="17" t="inlineStr">
        <is>
          <t>Sim</t>
        </is>
      </c>
    </row>
    <row r="64">
      <c r="A64" s="17" t="inlineStr">
        <is>
          <t>S-c8fd93</t>
        </is>
      </c>
      <c r="B64" s="17" t="inlineStr">
        <is>
          <t>A-0354fe</t>
        </is>
      </c>
      <c r="C64" s="17" t="inlineStr">
        <is>
          <t>Rápida</t>
        </is>
      </c>
      <c r="D64" s="17" t="inlineStr">
        <is>
          <t>Sim</t>
        </is>
      </c>
      <c r="E64" s="18" t="n">
        <v>45612</v>
      </c>
      <c r="F64" s="18" t="n">
        <v>45616</v>
      </c>
      <c r="G64" s="17" t="n">
        <v>4</v>
      </c>
      <c r="H64" s="17" t="inlineStr">
        <is>
          <t>Basic</t>
        </is>
      </c>
      <c r="I64" s="17" t="inlineStr">
        <is>
          <t>monthly</t>
        </is>
      </c>
      <c r="J64" s="17" t="n">
        <v>34</v>
      </c>
      <c r="K64" s="17" t="n">
        <v>3</v>
      </c>
      <c r="L64" s="17" t="inlineStr">
        <is>
          <t>Não</t>
        </is>
      </c>
      <c r="M64" s="17" t="inlineStr">
        <is>
          <t>Sim</t>
        </is>
      </c>
      <c r="N64" s="17" t="inlineStr">
        <is>
          <t>Sim</t>
        </is>
      </c>
    </row>
    <row r="65">
      <c r="A65" s="17" t="inlineStr">
        <is>
          <t>S-33df6f</t>
        </is>
      </c>
      <c r="B65" s="17" t="inlineStr">
        <is>
          <t>A-0baac2</t>
        </is>
      </c>
      <c r="C65" s="17" t="inlineStr">
        <is>
          <t>Rápida</t>
        </is>
      </c>
      <c r="D65" s="17" t="inlineStr">
        <is>
          <t>Não</t>
        </is>
      </c>
      <c r="E65" s="18" t="n">
        <v>45637</v>
      </c>
      <c r="F65" s="18" t="n">
        <v>45638</v>
      </c>
      <c r="G65" s="17" t="n">
        <v>1</v>
      </c>
      <c r="H65" s="17" t="inlineStr">
        <is>
          <t>Enterprise</t>
        </is>
      </c>
      <c r="I65" s="17" t="inlineStr">
        <is>
          <t>monthly</t>
        </is>
      </c>
      <c r="J65" s="17" t="n">
        <v>14</v>
      </c>
      <c r="K65" s="17" t="n">
        <v>4</v>
      </c>
      <c r="L65" s="17" t="inlineStr">
        <is>
          <t>Não</t>
        </is>
      </c>
      <c r="M65" s="17" t="inlineStr">
        <is>
          <t>Sim</t>
        </is>
      </c>
      <c r="N65" s="17" t="inlineStr">
        <is>
          <t>Sim</t>
        </is>
      </c>
    </row>
    <row r="66">
      <c r="A66" s="17" t="inlineStr">
        <is>
          <t>S-18e3a5</t>
        </is>
      </c>
      <c r="B66" s="17" t="inlineStr">
        <is>
          <t>A-c43359</t>
        </is>
      </c>
      <c r="C66" s="17" t="inlineStr">
        <is>
          <t>Rápida</t>
        </is>
      </c>
      <c r="D66" s="17" t="inlineStr">
        <is>
          <t>Sim</t>
        </is>
      </c>
      <c r="E66" s="18" t="n">
        <v>45621</v>
      </c>
      <c r="F66" s="18" t="n">
        <v>45624</v>
      </c>
      <c r="G66" s="17" t="n">
        <v>3</v>
      </c>
      <c r="H66" s="17" t="inlineStr">
        <is>
          <t>Basic</t>
        </is>
      </c>
      <c r="I66" s="17" t="inlineStr">
        <is>
          <t>annual</t>
        </is>
      </c>
      <c r="J66" s="17" t="n">
        <v>38</v>
      </c>
      <c r="K66" s="17" t="n">
        <v>1</v>
      </c>
      <c r="L66" s="17" t="inlineStr">
        <is>
          <t>Não</t>
        </is>
      </c>
      <c r="M66" s="17" t="inlineStr">
        <is>
          <t>Sim</t>
        </is>
      </c>
      <c r="N66" s="17" t="inlineStr">
        <is>
          <t>Sim</t>
        </is>
      </c>
    </row>
    <row r="67">
      <c r="A67" s="17" t="inlineStr">
        <is>
          <t>S-04911c</t>
        </is>
      </c>
      <c r="B67" s="17" t="inlineStr">
        <is>
          <t>A-bc87bc</t>
        </is>
      </c>
      <c r="C67" s="17" t="inlineStr">
        <is>
          <t>Rápida</t>
        </is>
      </c>
      <c r="D67" s="17" t="inlineStr">
        <is>
          <t>Não</t>
        </is>
      </c>
      <c r="E67" s="18" t="n">
        <v>45627</v>
      </c>
      <c r="F67" s="18" t="n">
        <v>45641</v>
      </c>
      <c r="G67" s="17" t="n">
        <v>14</v>
      </c>
      <c r="H67" s="17" t="inlineStr">
        <is>
          <t>Pro</t>
        </is>
      </c>
      <c r="I67" s="17" t="inlineStr">
        <is>
          <t>annual</t>
        </is>
      </c>
      <c r="J67" s="17" t="n">
        <v>3</v>
      </c>
      <c r="K67" s="17" t="n">
        <v>6</v>
      </c>
      <c r="L67" s="17" t="inlineStr">
        <is>
          <t>Não</t>
        </is>
      </c>
      <c r="M67" s="17" t="inlineStr">
        <is>
          <t>Sim</t>
        </is>
      </c>
      <c r="N67" s="17" t="inlineStr">
        <is>
          <t>Não</t>
        </is>
      </c>
    </row>
    <row r="68">
      <c r="A68" s="17" t="inlineStr">
        <is>
          <t>S-1b6221</t>
        </is>
      </c>
      <c r="B68" s="17" t="inlineStr">
        <is>
          <t>A-f6b2fb</t>
        </is>
      </c>
      <c r="C68" s="17" t="inlineStr">
        <is>
          <t>Lenta</t>
        </is>
      </c>
      <c r="D68" s="17" t="inlineStr">
        <is>
          <t>Não</t>
        </is>
      </c>
      <c r="E68" s="18" t="n">
        <v>45455</v>
      </c>
      <c r="F68" s="18" t="n">
        <v>45649</v>
      </c>
      <c r="G68" s="17" t="n">
        <v>194</v>
      </c>
      <c r="H68" s="17" t="inlineStr">
        <is>
          <t>Enterprise</t>
        </is>
      </c>
      <c r="I68" s="17" t="inlineStr">
        <is>
          <t>monthly</t>
        </is>
      </c>
      <c r="J68" s="17" t="n">
        <v>23</v>
      </c>
      <c r="K68" s="17" t="n">
        <v>8</v>
      </c>
      <c r="L68" s="17" t="inlineStr">
        <is>
          <t>Não</t>
        </is>
      </c>
      <c r="M68" s="17" t="inlineStr">
        <is>
          <t>Não</t>
        </is>
      </c>
      <c r="N68" s="17" t="inlineStr">
        <is>
          <t>Não</t>
        </is>
      </c>
    </row>
    <row r="69">
      <c r="A69" s="17" t="inlineStr">
        <is>
          <t>S-653165</t>
        </is>
      </c>
      <c r="B69" s="17" t="inlineStr">
        <is>
          <t>A-ac85cd</t>
        </is>
      </c>
      <c r="C69" s="17" t="inlineStr">
        <is>
          <t>Lenta</t>
        </is>
      </c>
      <c r="D69" s="17" t="inlineStr">
        <is>
          <t>Não</t>
        </is>
      </c>
      <c r="E69" s="18" t="n">
        <v>45561</v>
      </c>
      <c r="F69" s="18" t="n">
        <v>45639</v>
      </c>
      <c r="G69" s="17" t="n">
        <v>78</v>
      </c>
      <c r="H69" s="17" t="inlineStr">
        <is>
          <t>Basic</t>
        </is>
      </c>
      <c r="I69" s="17" t="inlineStr">
        <is>
          <t>annual</t>
        </is>
      </c>
      <c r="J69" s="17" t="n">
        <v>53</v>
      </c>
      <c r="K69" s="17" t="n">
        <v>8</v>
      </c>
      <c r="L69" s="17" t="inlineStr">
        <is>
          <t>Não</t>
        </is>
      </c>
      <c r="M69" s="17" t="inlineStr">
        <is>
          <t>Sim</t>
        </is>
      </c>
      <c r="N69" s="17" t="inlineStr">
        <is>
          <t>Sim</t>
        </is>
      </c>
    </row>
    <row r="70">
      <c r="A70" s="17" t="inlineStr">
        <is>
          <t>S-8cb02e</t>
        </is>
      </c>
      <c r="B70" s="17" t="inlineStr">
        <is>
          <t>A-de24d5</t>
        </is>
      </c>
      <c r="C70" s="17" t="inlineStr">
        <is>
          <t>Rápida</t>
        </is>
      </c>
      <c r="D70" s="17" t="inlineStr">
        <is>
          <t>Não</t>
        </is>
      </c>
      <c r="E70" s="18" t="n">
        <v>45635</v>
      </c>
      <c r="F70" s="18" t="n">
        <v>45647</v>
      </c>
      <c r="G70" s="17" t="n">
        <v>12</v>
      </c>
      <c r="H70" s="17" t="inlineStr">
        <is>
          <t>Pro</t>
        </is>
      </c>
      <c r="I70" s="17" t="inlineStr">
        <is>
          <t>annual</t>
        </is>
      </c>
      <c r="J70" s="17" t="n">
        <v>77</v>
      </c>
      <c r="K70" s="17" t="n">
        <v>10</v>
      </c>
      <c r="L70" s="17" t="inlineStr">
        <is>
          <t>Não</t>
        </is>
      </c>
      <c r="M70" s="17" t="inlineStr">
        <is>
          <t>Sim</t>
        </is>
      </c>
      <c r="N70" s="17" t="inlineStr">
        <is>
          <t>Não</t>
        </is>
      </c>
    </row>
    <row r="71">
      <c r="A71" s="17" t="inlineStr">
        <is>
          <t>S-689032</t>
        </is>
      </c>
      <c r="B71" s="17" t="inlineStr">
        <is>
          <t>A-410e86</t>
        </is>
      </c>
      <c r="C71" s="17" t="inlineStr">
        <is>
          <t>Rápida</t>
        </is>
      </c>
      <c r="D71" s="17" t="inlineStr">
        <is>
          <t>Não</t>
        </is>
      </c>
      <c r="E71" s="18" t="n">
        <v>45640</v>
      </c>
      <c r="F71" s="18" t="n">
        <v>45651</v>
      </c>
      <c r="G71" s="17" t="n">
        <v>11</v>
      </c>
      <c r="H71" s="17" t="inlineStr">
        <is>
          <t>Enterprise</t>
        </is>
      </c>
      <c r="I71" s="17" t="inlineStr">
        <is>
          <t>monthly</t>
        </is>
      </c>
      <c r="J71" s="17" t="n">
        <v>24</v>
      </c>
      <c r="K71" s="17" t="n">
        <v>5</v>
      </c>
      <c r="L71" s="17" t="inlineStr">
        <is>
          <t>Não</t>
        </is>
      </c>
      <c r="M71" s="17" t="inlineStr">
        <is>
          <t>Sim</t>
        </is>
      </c>
      <c r="N71" s="17" t="inlineStr">
        <is>
          <t>Sim</t>
        </is>
      </c>
    </row>
    <row r="72">
      <c r="A72" s="17" t="inlineStr">
        <is>
          <t>S-e3903e</t>
        </is>
      </c>
      <c r="B72" s="17" t="inlineStr">
        <is>
          <t>A-6da850</t>
        </is>
      </c>
      <c r="C72" s="17" t="inlineStr">
        <is>
          <t>Lenta</t>
        </is>
      </c>
      <c r="D72" s="17" t="inlineStr">
        <is>
          <t>Não</t>
        </is>
      </c>
      <c r="E72" s="18" t="n">
        <v>45581</v>
      </c>
      <c r="F72" s="18" t="n">
        <v>45634</v>
      </c>
      <c r="G72" s="17" t="n">
        <v>53</v>
      </c>
      <c r="H72" s="17" t="inlineStr">
        <is>
          <t>Pro</t>
        </is>
      </c>
      <c r="I72" s="17" t="inlineStr">
        <is>
          <t>annual</t>
        </is>
      </c>
      <c r="J72" s="17" t="n">
        <v>31</v>
      </c>
      <c r="K72" s="17" t="n">
        <v>13</v>
      </c>
      <c r="L72" s="17" t="inlineStr">
        <is>
          <t>Não</t>
        </is>
      </c>
      <c r="M72" s="17" t="inlineStr">
        <is>
          <t>Não</t>
        </is>
      </c>
      <c r="N72" s="17" t="inlineStr">
        <is>
          <t>Não</t>
        </is>
      </c>
    </row>
    <row r="73">
      <c r="A73" s="17" t="inlineStr">
        <is>
          <t>S-5eaab8</t>
        </is>
      </c>
      <c r="B73" s="17" t="inlineStr">
        <is>
          <t>A-0f3e88</t>
        </is>
      </c>
      <c r="C73" s="17" t="inlineStr">
        <is>
          <t>Rápida</t>
        </is>
      </c>
      <c r="D73" s="17" t="inlineStr">
        <is>
          <t>Não</t>
        </is>
      </c>
      <c r="E73" s="18" t="n">
        <v>45637</v>
      </c>
      <c r="F73" s="18" t="n">
        <v>45649</v>
      </c>
      <c r="G73" s="17" t="n">
        <v>12</v>
      </c>
      <c r="H73" s="17" t="inlineStr">
        <is>
          <t>Pro</t>
        </is>
      </c>
      <c r="I73" s="17" t="inlineStr">
        <is>
          <t>monthly</t>
        </is>
      </c>
      <c r="J73" s="17" t="n">
        <v>7</v>
      </c>
      <c r="K73" s="17" t="n">
        <v>10</v>
      </c>
      <c r="L73" s="17" t="inlineStr">
        <is>
          <t>Não</t>
        </is>
      </c>
      <c r="M73" s="17" t="inlineStr">
        <is>
          <t>Não</t>
        </is>
      </c>
      <c r="N73" s="17" t="inlineStr">
        <is>
          <t>Não</t>
        </is>
      </c>
    </row>
    <row r="74">
      <c r="A74" s="17" t="inlineStr">
        <is>
          <t>S-97efb2</t>
        </is>
      </c>
      <c r="B74" s="17" t="inlineStr">
        <is>
          <t>A-410e86</t>
        </is>
      </c>
      <c r="C74" s="17" t="inlineStr">
        <is>
          <t>Rápida</t>
        </is>
      </c>
      <c r="D74" s="17" t="inlineStr">
        <is>
          <t>Não</t>
        </is>
      </c>
      <c r="E74" s="18" t="n">
        <v>45612</v>
      </c>
      <c r="F74" s="18" t="n">
        <v>45618</v>
      </c>
      <c r="G74" s="17" t="n">
        <v>6</v>
      </c>
      <c r="H74" s="17" t="inlineStr">
        <is>
          <t>Enterprise</t>
        </is>
      </c>
      <c r="I74" s="17" t="inlineStr">
        <is>
          <t>annual</t>
        </is>
      </c>
      <c r="J74" s="17" t="n">
        <v>24</v>
      </c>
      <c r="K74" s="17" t="n">
        <v>0</v>
      </c>
      <c r="L74" s="17" t="inlineStr">
        <is>
          <t>Sim</t>
        </is>
      </c>
      <c r="M74" s="17" t="inlineStr">
        <is>
          <t>Sim</t>
        </is>
      </c>
      <c r="N74" s="17" t="inlineStr">
        <is>
          <t>Sim</t>
        </is>
      </c>
    </row>
    <row r="75">
      <c r="A75" s="17" t="inlineStr">
        <is>
          <t>S-1e15d1</t>
        </is>
      </c>
      <c r="B75" s="17" t="inlineStr">
        <is>
          <t>A-700ade</t>
        </is>
      </c>
      <c r="C75" s="17" t="inlineStr">
        <is>
          <t>Lenta</t>
        </is>
      </c>
      <c r="D75" s="17" t="inlineStr">
        <is>
          <t>Não</t>
        </is>
      </c>
      <c r="E75" s="18" t="n">
        <v>45613</v>
      </c>
      <c r="F75" s="18" t="n">
        <v>45657</v>
      </c>
      <c r="G75" s="17" t="n">
        <v>44</v>
      </c>
      <c r="H75" s="17" t="inlineStr">
        <is>
          <t>Pro</t>
        </is>
      </c>
      <c r="I75" s="17" t="inlineStr">
        <is>
          <t>annual</t>
        </is>
      </c>
      <c r="J75" s="17" t="n">
        <v>25</v>
      </c>
      <c r="K75" s="17" t="n">
        <v>6</v>
      </c>
      <c r="L75" s="17" t="inlineStr">
        <is>
          <t>Não</t>
        </is>
      </c>
      <c r="M75" s="17" t="inlineStr">
        <is>
          <t>Sim</t>
        </is>
      </c>
      <c r="N75" s="17" t="inlineStr">
        <is>
          <t>Não</t>
        </is>
      </c>
    </row>
    <row r="76">
      <c r="A76" s="17" t="inlineStr">
        <is>
          <t>S-556071</t>
        </is>
      </c>
      <c r="B76" s="17" t="inlineStr">
        <is>
          <t>A-9077b0</t>
        </is>
      </c>
      <c r="C76" s="17" t="inlineStr">
        <is>
          <t>Rápida</t>
        </is>
      </c>
      <c r="D76" s="17" t="inlineStr">
        <is>
          <t>Não</t>
        </is>
      </c>
      <c r="E76" s="18" t="n">
        <v>45646</v>
      </c>
      <c r="F76" s="18" t="n">
        <v>45656</v>
      </c>
      <c r="G76" s="17" t="n">
        <v>10</v>
      </c>
      <c r="H76" s="17" t="inlineStr">
        <is>
          <t>Pro</t>
        </is>
      </c>
      <c r="I76" s="17" t="inlineStr">
        <is>
          <t>monthly</t>
        </is>
      </c>
      <c r="J76" s="17" t="n">
        <v>63</v>
      </c>
      <c r="K76" s="17" t="n">
        <v>5</v>
      </c>
      <c r="L76" s="17" t="inlineStr">
        <is>
          <t>Não</t>
        </is>
      </c>
      <c r="M76" s="17" t="inlineStr">
        <is>
          <t>Não</t>
        </is>
      </c>
      <c r="N76" s="17" t="inlineStr">
        <is>
          <t>Não</t>
        </is>
      </c>
    </row>
    <row r="77">
      <c r="A77" s="17" t="inlineStr">
        <is>
          <t>S-f4019e</t>
        </is>
      </c>
      <c r="B77" s="17" t="inlineStr">
        <is>
          <t>A-7988d1</t>
        </is>
      </c>
      <c r="C77" s="17" t="inlineStr">
        <is>
          <t>Lenta</t>
        </is>
      </c>
      <c r="D77" s="17" t="inlineStr">
        <is>
          <t>Não</t>
        </is>
      </c>
      <c r="E77" s="18" t="n">
        <v>45563</v>
      </c>
      <c r="F77" s="18" t="n">
        <v>45612</v>
      </c>
      <c r="G77" s="17" t="n">
        <v>49</v>
      </c>
      <c r="H77" s="17" t="inlineStr">
        <is>
          <t>Basic</t>
        </is>
      </c>
      <c r="I77" s="17" t="inlineStr">
        <is>
          <t>monthly</t>
        </is>
      </c>
      <c r="J77" s="17" t="n">
        <v>33</v>
      </c>
      <c r="K77" s="17" t="n">
        <v>7</v>
      </c>
      <c r="L77" s="17" t="inlineStr">
        <is>
          <t>Não</t>
        </is>
      </c>
      <c r="M77" s="17" t="inlineStr">
        <is>
          <t>Não</t>
        </is>
      </c>
      <c r="N77" s="17" t="inlineStr">
        <is>
          <t>Não</t>
        </is>
      </c>
    </row>
    <row r="78">
      <c r="A78" s="17" t="inlineStr">
        <is>
          <t>S-381420</t>
        </is>
      </c>
      <c r="B78" s="17" t="inlineStr">
        <is>
          <t>A-42b791</t>
        </is>
      </c>
      <c r="C78" s="17" t="inlineStr">
        <is>
          <t>Lenta</t>
        </is>
      </c>
      <c r="D78" s="17" t="inlineStr">
        <is>
          <t>Não</t>
        </is>
      </c>
      <c r="E78" s="18" t="n">
        <v>45590</v>
      </c>
      <c r="F78" s="18" t="n">
        <v>45621</v>
      </c>
      <c r="G78" s="17" t="n">
        <v>31</v>
      </c>
      <c r="H78" s="17" t="inlineStr">
        <is>
          <t>Basic</t>
        </is>
      </c>
      <c r="I78" s="17" t="inlineStr">
        <is>
          <t>monthly</t>
        </is>
      </c>
      <c r="J78" s="17" t="n">
        <v>27</v>
      </c>
      <c r="K78" s="17" t="n">
        <v>4</v>
      </c>
      <c r="L78" s="17" t="inlineStr">
        <is>
          <t>Não</t>
        </is>
      </c>
      <c r="M78" s="17" t="inlineStr">
        <is>
          <t>Não</t>
        </is>
      </c>
      <c r="N78" s="17" t="inlineStr">
        <is>
          <t>Não</t>
        </is>
      </c>
    </row>
    <row r="79">
      <c r="A79" s="17" t="inlineStr">
        <is>
          <t>S-d35d49</t>
        </is>
      </c>
      <c r="B79" s="17" t="inlineStr">
        <is>
          <t>A-bc87bc</t>
        </is>
      </c>
      <c r="C79" s="17" t="inlineStr">
        <is>
          <t>Lenta</t>
        </is>
      </c>
      <c r="D79" s="17" t="inlineStr">
        <is>
          <t>Não</t>
        </is>
      </c>
      <c r="E79" s="18" t="n">
        <v>45546</v>
      </c>
      <c r="F79" s="18" t="n">
        <v>45606</v>
      </c>
      <c r="G79" s="17" t="n">
        <v>60</v>
      </c>
      <c r="H79" s="17" t="inlineStr">
        <is>
          <t>Basic</t>
        </is>
      </c>
      <c r="I79" s="17" t="inlineStr">
        <is>
          <t>annual</t>
        </is>
      </c>
      <c r="J79" s="17" t="n">
        <v>18</v>
      </c>
      <c r="K79" s="17" t="n">
        <v>2</v>
      </c>
      <c r="L79" s="17" t="inlineStr">
        <is>
          <t>Não</t>
        </is>
      </c>
      <c r="M79" s="17" t="inlineStr">
        <is>
          <t>Sim</t>
        </is>
      </c>
      <c r="N79" s="17" t="inlineStr">
        <is>
          <t>Não</t>
        </is>
      </c>
    </row>
    <row r="80">
      <c r="A80" s="17" t="inlineStr">
        <is>
          <t>S-83b2ee</t>
        </is>
      </c>
      <c r="B80" s="17" t="inlineStr">
        <is>
          <t>A-7c83a1</t>
        </is>
      </c>
      <c r="C80" s="17" t="inlineStr">
        <is>
          <t>Lenta</t>
        </is>
      </c>
      <c r="D80" s="17" t="inlineStr">
        <is>
          <t>Não</t>
        </is>
      </c>
      <c r="E80" s="18" t="n">
        <v>45470</v>
      </c>
      <c r="F80" s="18" t="n">
        <v>45630</v>
      </c>
      <c r="G80" s="17" t="n">
        <v>160</v>
      </c>
      <c r="H80" s="17" t="inlineStr">
        <is>
          <t>Enterprise</t>
        </is>
      </c>
      <c r="I80" s="17" t="inlineStr">
        <is>
          <t>monthly</t>
        </is>
      </c>
      <c r="J80" s="17" t="n">
        <v>26</v>
      </c>
      <c r="K80" s="17" t="n">
        <v>8</v>
      </c>
      <c r="L80" s="17" t="inlineStr">
        <is>
          <t>Não</t>
        </is>
      </c>
      <c r="M80" s="17" t="inlineStr">
        <is>
          <t>Não</t>
        </is>
      </c>
      <c r="N80" s="17" t="inlineStr">
        <is>
          <t>Não</t>
        </is>
      </c>
    </row>
    <row r="81">
      <c r="A81" s="17" t="inlineStr">
        <is>
          <t>S-222167</t>
        </is>
      </c>
      <c r="B81" s="17" t="inlineStr">
        <is>
          <t>A-c1e51e</t>
        </is>
      </c>
      <c r="C81" s="17" t="inlineStr">
        <is>
          <t>Rápida</t>
        </is>
      </c>
      <c r="D81" s="17" t="inlineStr">
        <is>
          <t>Não</t>
        </is>
      </c>
      <c r="E81" s="18" t="n">
        <v>45655</v>
      </c>
      <c r="F81" s="18" t="n">
        <v>45657</v>
      </c>
      <c r="G81" s="17" t="n">
        <v>2</v>
      </c>
      <c r="H81" s="17" t="inlineStr">
        <is>
          <t>Basic</t>
        </is>
      </c>
      <c r="I81" s="17" t="inlineStr">
        <is>
          <t>annual</t>
        </is>
      </c>
      <c r="J81" s="17" t="n">
        <v>41</v>
      </c>
      <c r="K81" s="17" t="n">
        <v>7</v>
      </c>
      <c r="L81" s="17" t="inlineStr">
        <is>
          <t>Não</t>
        </is>
      </c>
      <c r="M81" s="17" t="inlineStr">
        <is>
          <t>Sim</t>
        </is>
      </c>
      <c r="N81" s="17" t="inlineStr">
        <is>
          <t>Não</t>
        </is>
      </c>
    </row>
    <row r="82">
      <c r="A82" s="17" t="inlineStr">
        <is>
          <t>S-9d7c19</t>
        </is>
      </c>
      <c r="B82" s="17" t="inlineStr">
        <is>
          <t>A-82d8a6</t>
        </is>
      </c>
      <c r="C82" s="17" t="inlineStr">
        <is>
          <t>Rápida</t>
        </is>
      </c>
      <c r="D82" s="17" t="inlineStr">
        <is>
          <t>Não</t>
        </is>
      </c>
      <c r="E82" s="18" t="n">
        <v>45657</v>
      </c>
      <c r="F82" s="18" t="n">
        <v>45657</v>
      </c>
      <c r="G82" s="17" t="n">
        <v>0</v>
      </c>
      <c r="H82" s="17" t="inlineStr">
        <is>
          <t>Pro</t>
        </is>
      </c>
      <c r="I82" s="17" t="inlineStr">
        <is>
          <t>annual</t>
        </is>
      </c>
      <c r="J82" s="17" t="n">
        <v>5</v>
      </c>
      <c r="K82" s="17" t="n">
        <v>13</v>
      </c>
      <c r="L82" s="17" t="inlineStr">
        <is>
          <t>Não</t>
        </is>
      </c>
      <c r="M82" s="17" t="inlineStr">
        <is>
          <t>Sim</t>
        </is>
      </c>
      <c r="N82" s="17" t="inlineStr">
        <is>
          <t>Sim</t>
        </is>
      </c>
    </row>
    <row r="83">
      <c r="A83" s="17" t="inlineStr">
        <is>
          <t>S-9a44ec</t>
        </is>
      </c>
      <c r="B83" s="17" t="inlineStr">
        <is>
          <t>A-bf7919</t>
        </is>
      </c>
      <c r="C83" s="17" t="inlineStr">
        <is>
          <t>Rápida</t>
        </is>
      </c>
      <c r="D83" s="17" t="inlineStr">
        <is>
          <t>Sim</t>
        </is>
      </c>
      <c r="E83" s="18" t="n">
        <v>45647</v>
      </c>
      <c r="F83" s="18" t="n">
        <v>45655</v>
      </c>
      <c r="G83" s="17" t="n">
        <v>8</v>
      </c>
      <c r="H83" s="17" t="inlineStr">
        <is>
          <t>Pro</t>
        </is>
      </c>
      <c r="I83" s="17" t="inlineStr">
        <is>
          <t>annual</t>
        </is>
      </c>
      <c r="J83" s="17" t="n">
        <v>15</v>
      </c>
      <c r="K83" s="17" t="n">
        <v>4</v>
      </c>
      <c r="L83" s="17" t="inlineStr">
        <is>
          <t>Não</t>
        </is>
      </c>
      <c r="M83" s="17" t="inlineStr">
        <is>
          <t>Sim</t>
        </is>
      </c>
      <c r="N83" s="17" t="inlineStr">
        <is>
          <t>Não</t>
        </is>
      </c>
    </row>
    <row r="84">
      <c r="A84" s="17" t="inlineStr">
        <is>
          <t>S-f99f9e</t>
        </is>
      </c>
      <c r="B84" s="17" t="inlineStr">
        <is>
          <t>A-dbc825</t>
        </is>
      </c>
      <c r="C84" s="17" t="inlineStr">
        <is>
          <t>Lenta</t>
        </is>
      </c>
      <c r="D84" s="17" t="inlineStr">
        <is>
          <t>Não</t>
        </is>
      </c>
      <c r="E84" s="18" t="n">
        <v>45584</v>
      </c>
      <c r="F84" s="18" t="n">
        <v>45643</v>
      </c>
      <c r="G84" s="17" t="n">
        <v>59</v>
      </c>
      <c r="H84" s="17" t="inlineStr">
        <is>
          <t>Enterprise</t>
        </is>
      </c>
      <c r="I84" s="17" t="inlineStr">
        <is>
          <t>monthly</t>
        </is>
      </c>
      <c r="J84" s="17" t="n">
        <v>55</v>
      </c>
      <c r="K84" s="17" t="n">
        <v>12</v>
      </c>
      <c r="L84" s="17" t="inlineStr">
        <is>
          <t>Não</t>
        </is>
      </c>
      <c r="M84" s="17" t="inlineStr">
        <is>
          <t>Não</t>
        </is>
      </c>
      <c r="N84" s="17" t="inlineStr">
        <is>
          <t>Não</t>
        </is>
      </c>
    </row>
    <row r="85">
      <c r="A85" s="17" t="inlineStr">
        <is>
          <t>S-038f6f</t>
        </is>
      </c>
      <c r="B85" s="17" t="inlineStr">
        <is>
          <t>A-82d8a6</t>
        </is>
      </c>
      <c r="C85" s="17" t="inlineStr">
        <is>
          <t>Rápida</t>
        </is>
      </c>
      <c r="D85" s="17" t="inlineStr">
        <is>
          <t>Não</t>
        </is>
      </c>
      <c r="E85" s="18" t="n">
        <v>45640</v>
      </c>
      <c r="F85" s="18" t="n">
        <v>45655</v>
      </c>
      <c r="G85" s="17" t="n">
        <v>15</v>
      </c>
      <c r="H85" s="17" t="inlineStr">
        <is>
          <t>Enterprise</t>
        </is>
      </c>
      <c r="I85" s="17" t="inlineStr">
        <is>
          <t>monthly</t>
        </is>
      </c>
      <c r="J85" s="17" t="n">
        <v>10</v>
      </c>
      <c r="K85" s="17" t="n">
        <v>13</v>
      </c>
      <c r="L85" s="17" t="inlineStr">
        <is>
          <t>Não</t>
        </is>
      </c>
      <c r="M85" s="17" t="inlineStr">
        <is>
          <t>Sim</t>
        </is>
      </c>
      <c r="N85" s="17" t="inlineStr">
        <is>
          <t>Não</t>
        </is>
      </c>
    </row>
    <row r="86">
      <c r="A86" s="17" t="inlineStr">
        <is>
          <t>S-93dc0e</t>
        </is>
      </c>
      <c r="B86" s="17" t="inlineStr">
        <is>
          <t>A-8e47ca</t>
        </is>
      </c>
      <c r="C86" s="17" t="inlineStr">
        <is>
          <t>Lenta</t>
        </is>
      </c>
      <c r="D86" s="17" t="inlineStr">
        <is>
          <t>Não</t>
        </is>
      </c>
      <c r="E86" s="18" t="n">
        <v>45599</v>
      </c>
      <c r="F86" s="18" t="n">
        <v>45635</v>
      </c>
      <c r="G86" s="17" t="n">
        <v>36</v>
      </c>
      <c r="H86" s="17" t="inlineStr">
        <is>
          <t>Enterprise</t>
        </is>
      </c>
      <c r="I86" s="17" t="inlineStr">
        <is>
          <t>monthly</t>
        </is>
      </c>
      <c r="J86" s="17" t="n">
        <v>25</v>
      </c>
      <c r="K86" s="17" t="n">
        <v>8</v>
      </c>
      <c r="L86" s="17" t="inlineStr">
        <is>
          <t>Não</t>
        </is>
      </c>
      <c r="M86" s="17" t="inlineStr">
        <is>
          <t>Não</t>
        </is>
      </c>
      <c r="N86" s="17" t="inlineStr">
        <is>
          <t>Não</t>
        </is>
      </c>
    </row>
    <row r="87">
      <c r="A87" s="17" t="inlineStr">
        <is>
          <t>S-feea3a</t>
        </is>
      </c>
      <c r="B87" s="17" t="inlineStr">
        <is>
          <t>A-82d8a6</t>
        </is>
      </c>
      <c r="C87" s="17" t="inlineStr">
        <is>
          <t>Rápida</t>
        </is>
      </c>
      <c r="D87" s="17" t="inlineStr">
        <is>
          <t>Não</t>
        </is>
      </c>
      <c r="E87" s="18" t="n">
        <v>45643</v>
      </c>
      <c r="F87" s="18" t="n">
        <v>45648</v>
      </c>
      <c r="G87" s="17" t="n">
        <v>5</v>
      </c>
      <c r="H87" s="17" t="inlineStr">
        <is>
          <t>Basic</t>
        </is>
      </c>
      <c r="I87" s="17" t="inlineStr">
        <is>
          <t>monthly</t>
        </is>
      </c>
      <c r="J87" s="17" t="n">
        <v>5</v>
      </c>
      <c r="K87" s="17" t="n">
        <v>11</v>
      </c>
      <c r="L87" s="17" t="inlineStr">
        <is>
          <t>Não</t>
        </is>
      </c>
      <c r="M87" s="17" t="inlineStr">
        <is>
          <t>Sim</t>
        </is>
      </c>
      <c r="N87" s="17" t="inlineStr">
        <is>
          <t>Sim</t>
        </is>
      </c>
    </row>
    <row r="88">
      <c r="A88" s="17" t="inlineStr">
        <is>
          <t>S-f86bcf</t>
        </is>
      </c>
      <c r="B88" s="17" t="inlineStr">
        <is>
          <t>A-592832</t>
        </is>
      </c>
      <c r="C88" s="17" t="inlineStr">
        <is>
          <t>Rápida</t>
        </is>
      </c>
      <c r="D88" s="17" t="inlineStr">
        <is>
          <t>Não</t>
        </is>
      </c>
      <c r="E88" s="18" t="n">
        <v>45628</v>
      </c>
      <c r="F88" s="18" t="n">
        <v>45629</v>
      </c>
      <c r="G88" s="17" t="n">
        <v>1</v>
      </c>
      <c r="H88" s="17" t="inlineStr">
        <is>
          <t>Pro</t>
        </is>
      </c>
      <c r="I88" s="17" t="inlineStr">
        <is>
          <t>annual</t>
        </is>
      </c>
      <c r="J88" s="17" t="n">
        <v>44</v>
      </c>
      <c r="K88" s="17" t="n">
        <v>12</v>
      </c>
      <c r="L88" s="17" t="inlineStr">
        <is>
          <t>Não</t>
        </is>
      </c>
      <c r="M88" s="17" t="inlineStr">
        <is>
          <t>Sim</t>
        </is>
      </c>
      <c r="N88" s="17" t="inlineStr">
        <is>
          <t>Não</t>
        </is>
      </c>
    </row>
    <row r="89">
      <c r="A89" s="17" t="inlineStr">
        <is>
          <t>S-b3071c</t>
        </is>
      </c>
      <c r="B89" s="17" t="inlineStr">
        <is>
          <t>A-cab532</t>
        </is>
      </c>
      <c r="C89" s="17" t="inlineStr">
        <is>
          <t>Lenta</t>
        </is>
      </c>
      <c r="D89" s="17" t="inlineStr">
        <is>
          <t>Não</t>
        </is>
      </c>
      <c r="E89" s="18" t="n">
        <v>45233</v>
      </c>
      <c r="F89" s="18" t="n">
        <v>45640</v>
      </c>
      <c r="G89" s="17" t="n">
        <v>407</v>
      </c>
      <c r="H89" s="17" t="inlineStr">
        <is>
          <t>Pro</t>
        </is>
      </c>
      <c r="I89" s="17" t="inlineStr">
        <is>
          <t>monthly</t>
        </is>
      </c>
      <c r="J89" s="17" t="n">
        <v>31</v>
      </c>
      <c r="K89" s="17" t="n">
        <v>13</v>
      </c>
      <c r="L89" s="17" t="inlineStr">
        <is>
          <t>Não</t>
        </is>
      </c>
      <c r="M89" s="17" t="inlineStr">
        <is>
          <t>Sim</t>
        </is>
      </c>
      <c r="N89" s="17" t="inlineStr">
        <is>
          <t>Não</t>
        </is>
      </c>
    </row>
    <row r="90">
      <c r="A90" s="17" t="inlineStr">
        <is>
          <t>S-b7deea</t>
        </is>
      </c>
      <c r="B90" s="17" t="inlineStr">
        <is>
          <t>A-65aeb5</t>
        </is>
      </c>
      <c r="C90" s="17" t="inlineStr">
        <is>
          <t>Lenta</t>
        </is>
      </c>
      <c r="D90" s="17" t="inlineStr">
        <is>
          <t>Não</t>
        </is>
      </c>
      <c r="E90" s="18" t="n">
        <v>45373</v>
      </c>
      <c r="F90" s="18" t="n">
        <v>45629</v>
      </c>
      <c r="G90" s="17" t="n">
        <v>256</v>
      </c>
      <c r="H90" s="17" t="inlineStr">
        <is>
          <t>Enterprise</t>
        </is>
      </c>
      <c r="I90" s="17" t="inlineStr">
        <is>
          <t>monthly</t>
        </is>
      </c>
      <c r="J90" s="17" t="n">
        <v>63</v>
      </c>
      <c r="K90" s="17" t="n">
        <v>9</v>
      </c>
      <c r="L90" s="17" t="inlineStr">
        <is>
          <t>Não</t>
        </is>
      </c>
      <c r="M90" s="17" t="inlineStr">
        <is>
          <t>Não</t>
        </is>
      </c>
      <c r="N90" s="17" t="inlineStr">
        <is>
          <t>Não</t>
        </is>
      </c>
    </row>
    <row r="91">
      <c r="A91" s="17" t="inlineStr">
        <is>
          <t>S-cd2085</t>
        </is>
      </c>
      <c r="B91" s="17" t="inlineStr">
        <is>
          <t>A-7c83a1</t>
        </is>
      </c>
      <c r="C91" s="17" t="inlineStr">
        <is>
          <t>Rápida</t>
        </is>
      </c>
      <c r="D91" s="17" t="inlineStr">
        <is>
          <t>Não</t>
        </is>
      </c>
      <c r="E91" s="18" t="n">
        <v>45606</v>
      </c>
      <c r="F91" s="18" t="n">
        <v>45622</v>
      </c>
      <c r="G91" s="17" t="n">
        <v>16</v>
      </c>
      <c r="H91" s="17" t="inlineStr">
        <is>
          <t>Basic</t>
        </is>
      </c>
      <c r="I91" s="17" t="inlineStr">
        <is>
          <t>monthly</t>
        </is>
      </c>
      <c r="J91" s="17" t="n">
        <v>12</v>
      </c>
      <c r="K91" s="17" t="n">
        <v>9</v>
      </c>
      <c r="L91" s="17" t="inlineStr">
        <is>
          <t>Não</t>
        </is>
      </c>
      <c r="M91" s="17" t="inlineStr">
        <is>
          <t>Sim</t>
        </is>
      </c>
      <c r="N91" s="17" t="inlineStr">
        <is>
          <t>Sim</t>
        </is>
      </c>
    </row>
    <row r="92">
      <c r="A92" s="17" t="inlineStr">
        <is>
          <t>S-404ecd</t>
        </is>
      </c>
      <c r="B92" s="17" t="inlineStr">
        <is>
          <t>A-592832</t>
        </is>
      </c>
      <c r="C92" s="17" t="inlineStr">
        <is>
          <t>Lenta</t>
        </is>
      </c>
      <c r="D92" s="17" t="inlineStr">
        <is>
          <t>Não</t>
        </is>
      </c>
      <c r="E92" s="18" t="n">
        <v>45562</v>
      </c>
      <c r="F92" s="18" t="n">
        <v>45644</v>
      </c>
      <c r="G92" s="17" t="n">
        <v>82</v>
      </c>
      <c r="H92" s="17" t="inlineStr">
        <is>
          <t>Enterprise</t>
        </is>
      </c>
      <c r="I92" s="17" t="inlineStr">
        <is>
          <t>monthly</t>
        </is>
      </c>
      <c r="J92" s="17" t="n">
        <v>18</v>
      </c>
      <c r="K92" s="17" t="n">
        <v>12</v>
      </c>
      <c r="L92" s="17" t="inlineStr">
        <is>
          <t>Não</t>
        </is>
      </c>
      <c r="M92" s="17" t="inlineStr">
        <is>
          <t>Sim</t>
        </is>
      </c>
      <c r="N92" s="17" t="inlineStr">
        <is>
          <t>Sim</t>
        </is>
      </c>
    </row>
    <row r="93">
      <c r="A93" s="17" t="inlineStr">
        <is>
          <t>S-973e8e</t>
        </is>
      </c>
      <c r="B93" s="17" t="inlineStr">
        <is>
          <t>A-0a282f</t>
        </is>
      </c>
      <c r="C93" s="17" t="inlineStr">
        <is>
          <t>Lenta</t>
        </is>
      </c>
      <c r="D93" s="17" t="inlineStr">
        <is>
          <t>Não</t>
        </is>
      </c>
      <c r="E93" s="18" t="n">
        <v>45563</v>
      </c>
      <c r="F93" s="18" t="n">
        <v>45642</v>
      </c>
      <c r="G93" s="17" t="n">
        <v>79</v>
      </c>
      <c r="H93" s="17" t="inlineStr">
        <is>
          <t>Enterprise</t>
        </is>
      </c>
      <c r="I93" s="17" t="inlineStr">
        <is>
          <t>annual</t>
        </is>
      </c>
      <c r="J93" s="17" t="n">
        <v>6</v>
      </c>
      <c r="K93" s="17" t="n">
        <v>9</v>
      </c>
      <c r="L93" s="17" t="inlineStr">
        <is>
          <t>Não</t>
        </is>
      </c>
      <c r="M93" s="17" t="inlineStr">
        <is>
          <t>Sim</t>
        </is>
      </c>
      <c r="N93" s="17" t="inlineStr">
        <is>
          <t>Não</t>
        </is>
      </c>
    </row>
    <row r="94">
      <c r="A94" s="17" t="inlineStr">
        <is>
          <t>S-dfbd79</t>
        </is>
      </c>
      <c r="B94" s="17" t="inlineStr">
        <is>
          <t>A-977ca0</t>
        </is>
      </c>
      <c r="C94" s="17" t="inlineStr">
        <is>
          <t>Rápida</t>
        </is>
      </c>
      <c r="D94" s="17" t="inlineStr">
        <is>
          <t>Não</t>
        </is>
      </c>
      <c r="E94" s="18" t="n">
        <v>45620</v>
      </c>
      <c r="F94" s="18" t="n">
        <v>45620</v>
      </c>
      <c r="G94" s="17" t="n">
        <v>0</v>
      </c>
      <c r="H94" s="17" t="inlineStr">
        <is>
          <t>Pro</t>
        </is>
      </c>
      <c r="I94" s="17" t="inlineStr">
        <is>
          <t>annual</t>
        </is>
      </c>
      <c r="J94" s="17" t="n">
        <v>14</v>
      </c>
      <c r="K94" s="17" t="n">
        <v>14</v>
      </c>
      <c r="L94" s="17" t="inlineStr">
        <is>
          <t>Não</t>
        </is>
      </c>
      <c r="M94" s="17" t="inlineStr">
        <is>
          <t>Não</t>
        </is>
      </c>
      <c r="N94" s="17" t="inlineStr">
        <is>
          <t>Não</t>
        </is>
      </c>
    </row>
    <row r="95">
      <c r="A95" s="17" t="inlineStr">
        <is>
          <t>S-befdba</t>
        </is>
      </c>
      <c r="B95" s="17" t="inlineStr">
        <is>
          <t>A-ff79f2</t>
        </is>
      </c>
      <c r="C95" s="17" t="inlineStr">
        <is>
          <t>Rápida</t>
        </is>
      </c>
      <c r="D95" s="17" t="inlineStr">
        <is>
          <t>Não</t>
        </is>
      </c>
      <c r="E95" s="18" t="n">
        <v>45611</v>
      </c>
      <c r="F95" s="18" t="n">
        <v>45615</v>
      </c>
      <c r="G95" s="17" t="n">
        <v>4</v>
      </c>
      <c r="H95" s="17" t="inlineStr">
        <is>
          <t>Basic</t>
        </is>
      </c>
      <c r="I95" s="17" t="inlineStr">
        <is>
          <t>annual</t>
        </is>
      </c>
      <c r="J95" s="17" t="n">
        <v>36</v>
      </c>
      <c r="K95" s="17" t="n">
        <v>6</v>
      </c>
      <c r="L95" s="17" t="inlineStr">
        <is>
          <t>Não</t>
        </is>
      </c>
      <c r="M95" s="17" t="inlineStr">
        <is>
          <t>Não</t>
        </is>
      </c>
      <c r="N95" s="17" t="inlineStr">
        <is>
          <t>Não</t>
        </is>
      </c>
    </row>
    <row r="96">
      <c r="A96" s="17" t="inlineStr">
        <is>
          <t>S-6bd30a</t>
        </is>
      </c>
      <c r="B96" s="17" t="inlineStr">
        <is>
          <t>A-5c9849</t>
        </is>
      </c>
      <c r="C96" s="17" t="inlineStr">
        <is>
          <t>Rápida</t>
        </is>
      </c>
      <c r="D96" s="17" t="inlineStr">
        <is>
          <t>Sim</t>
        </is>
      </c>
      <c r="E96" s="18" t="n">
        <v>45627</v>
      </c>
      <c r="F96" s="18" t="n">
        <v>45642</v>
      </c>
      <c r="G96" s="17" t="n">
        <v>15</v>
      </c>
      <c r="H96" s="17" t="inlineStr">
        <is>
          <t>Enterprise</t>
        </is>
      </c>
      <c r="I96" s="17" t="inlineStr">
        <is>
          <t>monthly</t>
        </is>
      </c>
      <c r="J96" s="17" t="n">
        <v>91</v>
      </c>
      <c r="K96" s="17" t="n">
        <v>7</v>
      </c>
      <c r="L96" s="17" t="inlineStr">
        <is>
          <t>Não</t>
        </is>
      </c>
      <c r="M96" s="17" t="inlineStr">
        <is>
          <t>Sim</t>
        </is>
      </c>
      <c r="N96" s="17" t="inlineStr">
        <is>
          <t>Não</t>
        </is>
      </c>
    </row>
    <row r="97">
      <c r="A97" s="17" t="inlineStr">
        <is>
          <t>S-826d19</t>
        </is>
      </c>
      <c r="B97" s="17" t="inlineStr">
        <is>
          <t>A-5790f4</t>
        </is>
      </c>
      <c r="C97" s="17" t="inlineStr">
        <is>
          <t>Rápida</t>
        </is>
      </c>
      <c r="D97" s="17" t="inlineStr">
        <is>
          <t>Sim</t>
        </is>
      </c>
      <c r="E97" s="18" t="n">
        <v>45652</v>
      </c>
      <c r="F97" s="18" t="n">
        <v>45655</v>
      </c>
      <c r="G97" s="17" t="n">
        <v>3</v>
      </c>
      <c r="H97" s="17" t="inlineStr">
        <is>
          <t>Enterprise</t>
        </is>
      </c>
      <c r="I97" s="17" t="inlineStr">
        <is>
          <t>annual</t>
        </is>
      </c>
      <c r="J97" s="17" t="n">
        <v>8</v>
      </c>
      <c r="K97" s="17" t="n">
        <v>5</v>
      </c>
      <c r="L97" s="17" t="inlineStr">
        <is>
          <t>Não</t>
        </is>
      </c>
      <c r="M97" s="17" t="inlineStr">
        <is>
          <t>Sim</t>
        </is>
      </c>
      <c r="N97" s="17" t="inlineStr">
        <is>
          <t>Não</t>
        </is>
      </c>
    </row>
    <row r="98">
      <c r="A98" s="17" t="inlineStr">
        <is>
          <t>S-80af53</t>
        </is>
      </c>
      <c r="B98" s="17" t="inlineStr">
        <is>
          <t>A-fd7ad3</t>
        </is>
      </c>
      <c r="C98" s="17" t="inlineStr">
        <is>
          <t>Rápida</t>
        </is>
      </c>
      <c r="D98" s="17" t="inlineStr">
        <is>
          <t>Sim</t>
        </is>
      </c>
      <c r="E98" s="18" t="n">
        <v>45649</v>
      </c>
      <c r="F98" s="18" t="n">
        <v>45655</v>
      </c>
      <c r="G98" s="17" t="n">
        <v>6</v>
      </c>
      <c r="H98" s="17" t="inlineStr">
        <is>
          <t>Enterprise</t>
        </is>
      </c>
      <c r="I98" s="17" t="inlineStr">
        <is>
          <t>monthly</t>
        </is>
      </c>
      <c r="J98" s="17" t="n">
        <v>12</v>
      </c>
      <c r="K98" s="17" t="n">
        <v>8</v>
      </c>
      <c r="L98" s="17" t="inlineStr">
        <is>
          <t>Não</t>
        </is>
      </c>
      <c r="M98" s="17" t="inlineStr">
        <is>
          <t>Sim</t>
        </is>
      </c>
      <c r="N98" s="17" t="inlineStr">
        <is>
          <t>Não</t>
        </is>
      </c>
    </row>
    <row r="99">
      <c r="A99" s="17" t="inlineStr">
        <is>
          <t>S-9a8a30</t>
        </is>
      </c>
      <c r="B99" s="17" t="inlineStr">
        <is>
          <t>A-4a267b</t>
        </is>
      </c>
      <c r="C99" s="17" t="inlineStr">
        <is>
          <t>Lenta</t>
        </is>
      </c>
      <c r="D99" s="17" t="inlineStr">
        <is>
          <t>Não</t>
        </is>
      </c>
      <c r="E99" s="18" t="n">
        <v>45550</v>
      </c>
      <c r="F99" s="18" t="n">
        <v>45650</v>
      </c>
      <c r="G99" s="17" t="n">
        <v>100</v>
      </c>
      <c r="H99" s="17" t="inlineStr">
        <is>
          <t>Enterprise</t>
        </is>
      </c>
      <c r="I99" s="17" t="inlineStr">
        <is>
          <t>annual</t>
        </is>
      </c>
      <c r="J99" s="17" t="n">
        <v>25</v>
      </c>
      <c r="K99" s="17" t="n">
        <v>8</v>
      </c>
      <c r="L99" s="17" t="inlineStr">
        <is>
          <t>Não</t>
        </is>
      </c>
      <c r="M99" s="17" t="inlineStr">
        <is>
          <t>Não</t>
        </is>
      </c>
      <c r="N99" s="17" t="inlineStr">
        <is>
          <t>Não</t>
        </is>
      </c>
    </row>
    <row r="100">
      <c r="A100" s="17" t="inlineStr">
        <is>
          <t>S-342708</t>
        </is>
      </c>
      <c r="B100" s="17" t="inlineStr">
        <is>
          <t>A-ffc04f</t>
        </is>
      </c>
      <c r="C100" s="17" t="inlineStr">
        <is>
          <t>Rápida</t>
        </is>
      </c>
      <c r="D100" s="17" t="inlineStr">
        <is>
          <t>Não</t>
        </is>
      </c>
      <c r="E100" s="18" t="n">
        <v>45626</v>
      </c>
      <c r="F100" s="18" t="n">
        <v>45647</v>
      </c>
      <c r="G100" s="17" t="n">
        <v>21</v>
      </c>
      <c r="H100" s="17" t="inlineStr">
        <is>
          <t>Pro</t>
        </is>
      </c>
      <c r="I100" s="17" t="inlineStr">
        <is>
          <t>annual</t>
        </is>
      </c>
      <c r="J100" s="17" t="n">
        <v>41</v>
      </c>
      <c r="K100" s="17" t="n">
        <v>12</v>
      </c>
      <c r="L100" s="17" t="inlineStr">
        <is>
          <t>Não</t>
        </is>
      </c>
      <c r="M100" s="17" t="inlineStr">
        <is>
          <t>Sim</t>
        </is>
      </c>
      <c r="N100" s="17" t="inlineStr">
        <is>
          <t>Não</t>
        </is>
      </c>
    </row>
    <row r="101">
      <c r="A101" s="17" t="inlineStr">
        <is>
          <t>S-d44088</t>
        </is>
      </c>
      <c r="B101" s="17" t="inlineStr">
        <is>
          <t>A-0651a4</t>
        </is>
      </c>
      <c r="C101" s="17" t="inlineStr">
        <is>
          <t>Rápida</t>
        </is>
      </c>
      <c r="D101" s="17" t="inlineStr">
        <is>
          <t>Não</t>
        </is>
      </c>
      <c r="E101" s="18" t="n">
        <v>45647</v>
      </c>
      <c r="F101" s="18" t="n">
        <v>45649</v>
      </c>
      <c r="G101" s="17" t="n">
        <v>2</v>
      </c>
      <c r="H101" s="17" t="inlineStr">
        <is>
          <t>Pro</t>
        </is>
      </c>
      <c r="I101" s="17" t="inlineStr">
        <is>
          <t>annual</t>
        </is>
      </c>
      <c r="J101" s="17" t="n">
        <v>16</v>
      </c>
      <c r="K101" s="17" t="n">
        <v>13</v>
      </c>
      <c r="L101" s="17" t="inlineStr">
        <is>
          <t>Não</t>
        </is>
      </c>
      <c r="M101" s="17" t="inlineStr">
        <is>
          <t>Sim</t>
        </is>
      </c>
      <c r="N101" s="17" t="inlineStr">
        <is>
          <t>Sim</t>
        </is>
      </c>
    </row>
    <row r="102">
      <c r="A102" s="17" t="inlineStr">
        <is>
          <t>S-2c11c6</t>
        </is>
      </c>
      <c r="B102" s="17" t="inlineStr">
        <is>
          <t>A-76fa4d</t>
        </is>
      </c>
      <c r="C102" s="17" t="inlineStr">
        <is>
          <t>Rápida</t>
        </is>
      </c>
      <c r="D102" s="17" t="inlineStr">
        <is>
          <t>Sim</t>
        </is>
      </c>
      <c r="E102" s="18" t="n">
        <v>45634</v>
      </c>
      <c r="F102" s="18" t="n">
        <v>45654</v>
      </c>
      <c r="G102" s="17" t="n">
        <v>20</v>
      </c>
      <c r="H102" s="17" t="inlineStr">
        <is>
          <t>Pro</t>
        </is>
      </c>
      <c r="I102" s="17" t="inlineStr">
        <is>
          <t>monthly</t>
        </is>
      </c>
      <c r="J102" s="17" t="n">
        <v>69</v>
      </c>
      <c r="K102" s="17" t="n">
        <v>6</v>
      </c>
      <c r="L102" s="17" t="inlineStr">
        <is>
          <t>Não</t>
        </is>
      </c>
      <c r="M102" s="17" t="inlineStr">
        <is>
          <t>Sim</t>
        </is>
      </c>
      <c r="N102" s="17" t="inlineStr">
        <is>
          <t>Sim</t>
        </is>
      </c>
    </row>
    <row r="103">
      <c r="A103" s="17" t="inlineStr">
        <is>
          <t>S-abddce</t>
        </is>
      </c>
      <c r="B103" s="17" t="inlineStr">
        <is>
          <t>A-7d514c</t>
        </is>
      </c>
      <c r="C103" s="17" t="inlineStr">
        <is>
          <t>Lenta</t>
        </is>
      </c>
      <c r="D103" s="17" t="inlineStr">
        <is>
          <t>Não</t>
        </is>
      </c>
      <c r="E103" s="18" t="n">
        <v>45474</v>
      </c>
      <c r="F103" s="18" t="n">
        <v>45608</v>
      </c>
      <c r="G103" s="17" t="n">
        <v>134</v>
      </c>
      <c r="H103" s="17" t="inlineStr">
        <is>
          <t>Enterprise</t>
        </is>
      </c>
      <c r="I103" s="17" t="inlineStr">
        <is>
          <t>monthly</t>
        </is>
      </c>
      <c r="J103" s="17" t="n">
        <v>43</v>
      </c>
      <c r="K103" s="17" t="n">
        <v>7</v>
      </c>
      <c r="L103" s="17" t="inlineStr">
        <is>
          <t>Não</t>
        </is>
      </c>
      <c r="M103" s="17" t="inlineStr">
        <is>
          <t>Sim</t>
        </is>
      </c>
      <c r="N103" s="17" t="inlineStr">
        <is>
          <t>Não</t>
        </is>
      </c>
    </row>
    <row r="104">
      <c r="A104" s="17" t="inlineStr">
        <is>
          <t>S-7dab19</t>
        </is>
      </c>
      <c r="B104" s="17" t="inlineStr">
        <is>
          <t>A-de58ca</t>
        </is>
      </c>
      <c r="C104" s="17" t="inlineStr">
        <is>
          <t>Lenta</t>
        </is>
      </c>
      <c r="D104" s="17" t="inlineStr">
        <is>
          <t>Não</t>
        </is>
      </c>
      <c r="E104" s="18" t="n">
        <v>45284</v>
      </c>
      <c r="F104" s="18" t="n">
        <v>45600</v>
      </c>
      <c r="G104" s="17" t="n">
        <v>316</v>
      </c>
      <c r="H104" s="17" t="inlineStr">
        <is>
          <t>Basic</t>
        </is>
      </c>
      <c r="I104" s="17" t="inlineStr">
        <is>
          <t>annual</t>
        </is>
      </c>
      <c r="J104" s="17" t="n">
        <v>47</v>
      </c>
      <c r="K104" s="17" t="n">
        <v>9</v>
      </c>
      <c r="L104" s="17" t="inlineStr">
        <is>
          <t>Não</t>
        </is>
      </c>
      <c r="M104" s="17" t="inlineStr">
        <is>
          <t>Não</t>
        </is>
      </c>
      <c r="N104" s="17" t="inlineStr">
        <is>
          <t>Não</t>
        </is>
      </c>
    </row>
    <row r="105">
      <c r="A105" s="17" t="inlineStr">
        <is>
          <t>S-ed9451</t>
        </is>
      </c>
      <c r="B105" s="17" t="inlineStr">
        <is>
          <t>A-bd4513</t>
        </is>
      </c>
      <c r="C105" s="17" t="inlineStr">
        <is>
          <t>Rápida</t>
        </is>
      </c>
      <c r="D105" s="17" t="inlineStr">
        <is>
          <t>Não</t>
        </is>
      </c>
      <c r="E105" s="18" t="n">
        <v>45643</v>
      </c>
      <c r="F105" s="18" t="n">
        <v>45643</v>
      </c>
      <c r="G105" s="17" t="n">
        <v>0</v>
      </c>
      <c r="H105" s="17" t="inlineStr">
        <is>
          <t>Pro</t>
        </is>
      </c>
      <c r="I105" s="17" t="inlineStr">
        <is>
          <t>annual</t>
        </is>
      </c>
      <c r="J105" s="17" t="n">
        <v>50</v>
      </c>
      <c r="K105" s="17" t="n">
        <v>9</v>
      </c>
      <c r="L105" s="17" t="inlineStr">
        <is>
          <t>Não</t>
        </is>
      </c>
      <c r="M105" s="17" t="inlineStr">
        <is>
          <t>Sim</t>
        </is>
      </c>
      <c r="N105" s="17" t="inlineStr">
        <is>
          <t>Sim</t>
        </is>
      </c>
    </row>
    <row r="106">
      <c r="A106" s="17" t="inlineStr">
        <is>
          <t>S-6a0399</t>
        </is>
      </c>
      <c r="B106" s="17" t="inlineStr">
        <is>
          <t>A-df1e44</t>
        </is>
      </c>
      <c r="C106" s="17" t="inlineStr">
        <is>
          <t>Lenta</t>
        </is>
      </c>
      <c r="D106" s="17" t="inlineStr">
        <is>
          <t>Não</t>
        </is>
      </c>
      <c r="E106" s="18" t="n">
        <v>45543</v>
      </c>
      <c r="F106" s="18" t="n">
        <v>45641</v>
      </c>
      <c r="G106" s="17" t="n">
        <v>98</v>
      </c>
      <c r="H106" s="17" t="inlineStr">
        <is>
          <t>Enterprise</t>
        </is>
      </c>
      <c r="I106" s="17" t="inlineStr">
        <is>
          <t>monthly</t>
        </is>
      </c>
      <c r="J106" s="17" t="n">
        <v>12</v>
      </c>
      <c r="K106" s="17" t="n">
        <v>8</v>
      </c>
      <c r="L106" s="17" t="inlineStr">
        <is>
          <t>Não</t>
        </is>
      </c>
      <c r="M106" s="17" t="inlineStr">
        <is>
          <t>Sim</t>
        </is>
      </c>
      <c r="N106" s="17" t="inlineStr">
        <is>
          <t>Sim</t>
        </is>
      </c>
    </row>
    <row r="107">
      <c r="A107" s="17" t="inlineStr">
        <is>
          <t>S-6ce221</t>
        </is>
      </c>
      <c r="B107" s="17" t="inlineStr">
        <is>
          <t>A-65aeb5</t>
        </is>
      </c>
      <c r="C107" s="17" t="inlineStr">
        <is>
          <t>Lenta</t>
        </is>
      </c>
      <c r="D107" s="17" t="inlineStr">
        <is>
          <t>Não</t>
        </is>
      </c>
      <c r="E107" s="18" t="n">
        <v>45575</v>
      </c>
      <c r="F107" s="18" t="n">
        <v>45629</v>
      </c>
      <c r="G107" s="17" t="n">
        <v>54</v>
      </c>
      <c r="H107" s="17" t="inlineStr">
        <is>
          <t>Basic</t>
        </is>
      </c>
      <c r="I107" s="17" t="inlineStr">
        <is>
          <t>annual</t>
        </is>
      </c>
      <c r="J107" s="17" t="n">
        <v>9</v>
      </c>
      <c r="K107" s="17" t="n">
        <v>9</v>
      </c>
      <c r="L107" s="17" t="inlineStr">
        <is>
          <t>Não</t>
        </is>
      </c>
      <c r="M107" s="17" t="inlineStr">
        <is>
          <t>Não</t>
        </is>
      </c>
      <c r="N107" s="17" t="inlineStr">
        <is>
          <t>Não</t>
        </is>
      </c>
    </row>
    <row r="108">
      <c r="A108" s="17" t="inlineStr">
        <is>
          <t>S-af8f54</t>
        </is>
      </c>
      <c r="B108" s="17" t="inlineStr">
        <is>
          <t>A-712426</t>
        </is>
      </c>
      <c r="C108" s="17" t="inlineStr">
        <is>
          <t>Rápida</t>
        </is>
      </c>
      <c r="D108" s="17" t="inlineStr">
        <is>
          <t>Sim</t>
        </is>
      </c>
      <c r="E108" s="18" t="n">
        <v>45624</v>
      </c>
      <c r="F108" s="18" t="n">
        <v>45652</v>
      </c>
      <c r="G108" s="17" t="n">
        <v>28</v>
      </c>
      <c r="H108" s="17" t="inlineStr">
        <is>
          <t>Enterprise</t>
        </is>
      </c>
      <c r="I108" s="17" t="inlineStr">
        <is>
          <t>monthly</t>
        </is>
      </c>
      <c r="J108" s="17" t="n">
        <v>9</v>
      </c>
      <c r="K108" s="17" t="n">
        <v>11</v>
      </c>
      <c r="L108" s="17" t="inlineStr">
        <is>
          <t>Não</t>
        </is>
      </c>
      <c r="M108" s="17" t="inlineStr">
        <is>
          <t>Sim</t>
        </is>
      </c>
      <c r="N108" s="17" t="inlineStr">
        <is>
          <t>Não</t>
        </is>
      </c>
    </row>
    <row r="109">
      <c r="A109" s="17" t="inlineStr">
        <is>
          <t>S-dfaf24</t>
        </is>
      </c>
      <c r="B109" s="17" t="inlineStr">
        <is>
          <t>A-970c97</t>
        </is>
      </c>
      <c r="C109" s="17" t="inlineStr">
        <is>
          <t>Rápida</t>
        </is>
      </c>
      <c r="D109" s="17" t="inlineStr">
        <is>
          <t>Não</t>
        </is>
      </c>
      <c r="E109" s="18" t="n">
        <v>45641</v>
      </c>
      <c r="F109" s="18" t="n">
        <v>45647</v>
      </c>
      <c r="G109" s="17" t="n">
        <v>6</v>
      </c>
      <c r="H109" s="17" t="inlineStr">
        <is>
          <t>Basic</t>
        </is>
      </c>
      <c r="I109" s="17" t="inlineStr">
        <is>
          <t>annual</t>
        </is>
      </c>
      <c r="J109" s="17" t="n">
        <v>27</v>
      </c>
      <c r="K109" s="17" t="n">
        <v>7</v>
      </c>
      <c r="L109" s="17" t="inlineStr">
        <is>
          <t>Não</t>
        </is>
      </c>
      <c r="M109" s="17" t="inlineStr">
        <is>
          <t>Sim</t>
        </is>
      </c>
      <c r="N109" s="17" t="inlineStr">
        <is>
          <t>Não</t>
        </is>
      </c>
    </row>
    <row r="110">
      <c r="A110" s="17" t="inlineStr">
        <is>
          <t>S-9a7851</t>
        </is>
      </c>
      <c r="B110" s="17" t="inlineStr">
        <is>
          <t>A-4c38bc</t>
        </is>
      </c>
      <c r="C110" s="17" t="inlineStr">
        <is>
          <t>Rápida</t>
        </is>
      </c>
      <c r="D110" s="17" t="inlineStr">
        <is>
          <t>Não</t>
        </is>
      </c>
      <c r="E110" s="18" t="n">
        <v>45653</v>
      </c>
      <c r="F110" s="18" t="n">
        <v>45654</v>
      </c>
      <c r="G110" s="17" t="n">
        <v>1</v>
      </c>
      <c r="H110" s="17" t="inlineStr">
        <is>
          <t>Pro</t>
        </is>
      </c>
      <c r="I110" s="17" t="inlineStr">
        <is>
          <t>annual</t>
        </is>
      </c>
      <c r="J110" s="17" t="n">
        <v>36</v>
      </c>
      <c r="K110" s="17" t="n">
        <v>14</v>
      </c>
      <c r="L110" s="17" t="inlineStr">
        <is>
          <t>Não</t>
        </is>
      </c>
      <c r="M110" s="17" t="inlineStr">
        <is>
          <t>Não</t>
        </is>
      </c>
      <c r="N110" s="17" t="inlineStr">
        <is>
          <t>Não</t>
        </is>
      </c>
    </row>
    <row r="111">
      <c r="A111" s="17" t="inlineStr">
        <is>
          <t>S-450fa9</t>
        </is>
      </c>
      <c r="B111" s="17" t="inlineStr">
        <is>
          <t>A-186a44</t>
        </is>
      </c>
      <c r="C111" s="17" t="inlineStr">
        <is>
          <t>Rápida</t>
        </is>
      </c>
      <c r="D111" s="17" t="inlineStr">
        <is>
          <t>Não</t>
        </is>
      </c>
      <c r="E111" s="18" t="n">
        <v>45643</v>
      </c>
      <c r="F111" s="18" t="n">
        <v>45651</v>
      </c>
      <c r="G111" s="17" t="n">
        <v>8</v>
      </c>
      <c r="H111" s="17" t="inlineStr">
        <is>
          <t>Basic</t>
        </is>
      </c>
      <c r="I111" s="17" t="inlineStr">
        <is>
          <t>monthly</t>
        </is>
      </c>
      <c r="J111" s="17" t="n">
        <v>20</v>
      </c>
      <c r="K111" s="17" t="n">
        <v>13</v>
      </c>
      <c r="L111" s="17" t="inlineStr">
        <is>
          <t>Não</t>
        </is>
      </c>
      <c r="M111" s="17" t="inlineStr">
        <is>
          <t>Não</t>
        </is>
      </c>
      <c r="N111" s="17" t="inlineStr">
        <is>
          <t>Não</t>
        </is>
      </c>
    </row>
    <row r="112">
      <c r="A112" s="17" t="inlineStr">
        <is>
          <t>S-1d5f4e</t>
        </is>
      </c>
      <c r="B112" s="17" t="inlineStr">
        <is>
          <t>A-ab438f</t>
        </is>
      </c>
      <c r="C112" s="17" t="inlineStr">
        <is>
          <t>Rápida</t>
        </is>
      </c>
      <c r="D112" s="17" t="inlineStr">
        <is>
          <t>Não</t>
        </is>
      </c>
      <c r="E112" s="18" t="n">
        <v>45637</v>
      </c>
      <c r="F112" s="18" t="n">
        <v>45641</v>
      </c>
      <c r="G112" s="17" t="n">
        <v>4</v>
      </c>
      <c r="H112" s="17" t="inlineStr">
        <is>
          <t>Pro</t>
        </is>
      </c>
      <c r="I112" s="17" t="inlineStr">
        <is>
          <t>monthly</t>
        </is>
      </c>
      <c r="J112" s="17" t="n">
        <v>13</v>
      </c>
      <c r="K112" s="17" t="n">
        <v>6</v>
      </c>
      <c r="L112" s="17" t="inlineStr">
        <is>
          <t>Não</t>
        </is>
      </c>
      <c r="M112" s="17" t="inlineStr">
        <is>
          <t>Não</t>
        </is>
      </c>
      <c r="N112" s="17" t="inlineStr">
        <is>
          <t>Não</t>
        </is>
      </c>
    </row>
    <row r="113">
      <c r="A113" s="17" t="inlineStr">
        <is>
          <t>S-afed2d</t>
        </is>
      </c>
      <c r="B113" s="17" t="inlineStr">
        <is>
          <t>A-726cfa</t>
        </is>
      </c>
      <c r="C113" s="17" t="inlineStr">
        <is>
          <t>Lenta</t>
        </is>
      </c>
      <c r="D113" s="17" t="inlineStr">
        <is>
          <t>Não</t>
        </is>
      </c>
      <c r="E113" s="18" t="n">
        <v>45442</v>
      </c>
      <c r="F113" s="18" t="n">
        <v>45638</v>
      </c>
      <c r="G113" s="17" t="n">
        <v>196</v>
      </c>
      <c r="H113" s="17" t="inlineStr">
        <is>
          <t>Pro</t>
        </is>
      </c>
      <c r="I113" s="17" t="inlineStr">
        <is>
          <t>annual</t>
        </is>
      </c>
      <c r="J113" s="17" t="n">
        <v>11</v>
      </c>
      <c r="K113" s="17" t="n">
        <v>16</v>
      </c>
      <c r="L113" s="17" t="inlineStr">
        <is>
          <t>Não</t>
        </is>
      </c>
      <c r="M113" s="17" t="inlineStr">
        <is>
          <t>Sim</t>
        </is>
      </c>
      <c r="N113" s="17" t="inlineStr">
        <is>
          <t>Não</t>
        </is>
      </c>
    </row>
    <row r="114">
      <c r="A114" s="17" t="inlineStr">
        <is>
          <t>S-d3f138</t>
        </is>
      </c>
      <c r="B114" s="17" t="inlineStr">
        <is>
          <t>A-560d27</t>
        </is>
      </c>
      <c r="C114" s="17" t="inlineStr">
        <is>
          <t>Rápida</t>
        </is>
      </c>
      <c r="D114" s="17" t="inlineStr">
        <is>
          <t>Não</t>
        </is>
      </c>
      <c r="E114" s="18" t="n">
        <v>45586</v>
      </c>
      <c r="F114" s="18" t="n">
        <v>45614</v>
      </c>
      <c r="G114" s="17" t="n">
        <v>28</v>
      </c>
      <c r="H114" s="17" t="inlineStr">
        <is>
          <t>Enterprise</t>
        </is>
      </c>
      <c r="I114" s="17" t="inlineStr">
        <is>
          <t>monthly</t>
        </is>
      </c>
      <c r="J114" s="17" t="n">
        <v>23</v>
      </c>
      <c r="K114" s="17" t="n">
        <v>10</v>
      </c>
      <c r="L114" s="17" t="inlineStr">
        <is>
          <t>Não</t>
        </is>
      </c>
      <c r="M114" s="17" t="inlineStr">
        <is>
          <t>Sim</t>
        </is>
      </c>
      <c r="N114" s="17" t="inlineStr">
        <is>
          <t>Sim</t>
        </is>
      </c>
    </row>
    <row r="115">
      <c r="A115" s="17" t="inlineStr">
        <is>
          <t>S-e78857</t>
        </is>
      </c>
      <c r="B115" s="17" t="inlineStr">
        <is>
          <t>A-432483</t>
        </is>
      </c>
      <c r="C115" s="17" t="inlineStr">
        <is>
          <t>Lenta</t>
        </is>
      </c>
      <c r="D115" s="17" t="inlineStr">
        <is>
          <t>Não</t>
        </is>
      </c>
      <c r="E115" s="18" t="n">
        <v>45178</v>
      </c>
      <c r="F115" s="18" t="n">
        <v>45656</v>
      </c>
      <c r="G115" s="17" t="n">
        <v>478</v>
      </c>
      <c r="H115" s="17" t="inlineStr">
        <is>
          <t>Enterprise</t>
        </is>
      </c>
      <c r="I115" s="17" t="inlineStr">
        <is>
          <t>monthly</t>
        </is>
      </c>
      <c r="J115" s="17" t="n">
        <v>10</v>
      </c>
      <c r="K115" s="17" t="n">
        <v>6</v>
      </c>
      <c r="L115" s="17" t="inlineStr">
        <is>
          <t>Não</t>
        </is>
      </c>
      <c r="M115" s="17" t="inlineStr">
        <is>
          <t>Não</t>
        </is>
      </c>
      <c r="N115" s="17" t="inlineStr">
        <is>
          <t>Não</t>
        </is>
      </c>
    </row>
    <row r="116">
      <c r="A116" s="17" t="inlineStr">
        <is>
          <t>S-783131</t>
        </is>
      </c>
      <c r="B116" s="17" t="inlineStr">
        <is>
          <t>A-51ec1b</t>
        </is>
      </c>
      <c r="C116" s="17" t="inlineStr">
        <is>
          <t>Lenta</t>
        </is>
      </c>
      <c r="D116" s="17" t="inlineStr">
        <is>
          <t>Não</t>
        </is>
      </c>
      <c r="E116" s="18" t="n">
        <v>45568</v>
      </c>
      <c r="F116" s="18" t="n">
        <v>45623</v>
      </c>
      <c r="G116" s="17" t="n">
        <v>55</v>
      </c>
      <c r="H116" s="17" t="inlineStr">
        <is>
          <t>Enterprise</t>
        </is>
      </c>
      <c r="I116" s="17" t="inlineStr">
        <is>
          <t>annual</t>
        </is>
      </c>
      <c r="J116" s="17" t="n">
        <v>7</v>
      </c>
      <c r="K116" s="17" t="n">
        <v>4</v>
      </c>
      <c r="L116" s="17" t="inlineStr">
        <is>
          <t>Não</t>
        </is>
      </c>
      <c r="M116" s="17" t="inlineStr">
        <is>
          <t>Não</t>
        </is>
      </c>
      <c r="N116" s="17" t="inlineStr">
        <is>
          <t>Não</t>
        </is>
      </c>
    </row>
    <row r="117">
      <c r="A117" s="17" t="inlineStr">
        <is>
          <t>S-8e5ceb</t>
        </is>
      </c>
      <c r="B117" s="17" t="inlineStr">
        <is>
          <t>A-7f4db3</t>
        </is>
      </c>
      <c r="C117" s="17" t="inlineStr">
        <is>
          <t>Rápida</t>
        </is>
      </c>
      <c r="D117" s="17" t="inlineStr">
        <is>
          <t>Não</t>
        </is>
      </c>
      <c r="E117" s="18" t="n">
        <v>45603</v>
      </c>
      <c r="F117" s="18" t="n">
        <v>45614</v>
      </c>
      <c r="G117" s="17" t="n">
        <v>11</v>
      </c>
      <c r="H117" s="17" t="inlineStr">
        <is>
          <t>Enterprise</t>
        </is>
      </c>
      <c r="I117" s="17" t="inlineStr">
        <is>
          <t>monthly</t>
        </is>
      </c>
      <c r="J117" s="17" t="n">
        <v>9</v>
      </c>
      <c r="K117" s="17" t="n">
        <v>12</v>
      </c>
      <c r="L117" s="17" t="inlineStr">
        <is>
          <t>Não</t>
        </is>
      </c>
      <c r="M117" s="17" t="inlineStr">
        <is>
          <t>Não</t>
        </is>
      </c>
      <c r="N117" s="17" t="inlineStr">
        <is>
          <t>Não</t>
        </is>
      </c>
    </row>
    <row r="118">
      <c r="A118" s="17" t="inlineStr">
        <is>
          <t>S-62c824</t>
        </is>
      </c>
      <c r="B118" s="17" t="inlineStr">
        <is>
          <t>A-0e966d</t>
        </is>
      </c>
      <c r="C118" s="17" t="inlineStr">
        <is>
          <t>Rápida</t>
        </is>
      </c>
      <c r="D118" s="17" t="inlineStr">
        <is>
          <t>Não</t>
        </is>
      </c>
      <c r="E118" s="18" t="n">
        <v>45622</v>
      </c>
      <c r="F118" s="18" t="n">
        <v>45626</v>
      </c>
      <c r="G118" s="17" t="n">
        <v>4</v>
      </c>
      <c r="H118" s="17" t="inlineStr">
        <is>
          <t>Basic</t>
        </is>
      </c>
      <c r="I118" s="17" t="inlineStr">
        <is>
          <t>annual</t>
        </is>
      </c>
      <c r="J118" s="17" t="n">
        <v>11</v>
      </c>
      <c r="K118" s="17" t="n">
        <v>10</v>
      </c>
      <c r="L118" s="17" t="inlineStr">
        <is>
          <t>Não</t>
        </is>
      </c>
      <c r="M118" s="17" t="inlineStr">
        <is>
          <t>Não</t>
        </is>
      </c>
      <c r="N118" s="17" t="inlineStr">
        <is>
          <t>Não</t>
        </is>
      </c>
    </row>
    <row r="119">
      <c r="A119" s="17" t="inlineStr">
        <is>
          <t>S-2223bf</t>
        </is>
      </c>
      <c r="B119" s="17" t="inlineStr">
        <is>
          <t>A-5a215a</t>
        </is>
      </c>
      <c r="C119" s="17" t="inlineStr">
        <is>
          <t>Lenta</t>
        </is>
      </c>
      <c r="D119" s="17" t="inlineStr">
        <is>
          <t>Não</t>
        </is>
      </c>
      <c r="E119" s="18" t="n">
        <v>45588</v>
      </c>
      <c r="F119" s="18" t="n">
        <v>45622</v>
      </c>
      <c r="G119" s="17" t="n">
        <v>34</v>
      </c>
      <c r="H119" s="17" t="inlineStr">
        <is>
          <t>Pro</t>
        </is>
      </c>
      <c r="I119" s="17" t="inlineStr">
        <is>
          <t>monthly</t>
        </is>
      </c>
      <c r="J119" s="17" t="n">
        <v>87</v>
      </c>
      <c r="K119" s="17" t="n">
        <v>13</v>
      </c>
      <c r="L119" s="17" t="inlineStr">
        <is>
          <t>Não</t>
        </is>
      </c>
      <c r="M119" s="17" t="inlineStr">
        <is>
          <t>Sim</t>
        </is>
      </c>
      <c r="N119" s="17" t="inlineStr">
        <is>
          <t>Sim</t>
        </is>
      </c>
    </row>
    <row r="120">
      <c r="A120" s="17" t="inlineStr">
        <is>
          <t>S-79d1e0</t>
        </is>
      </c>
      <c r="B120" s="17" t="inlineStr">
        <is>
          <t>A-ce550d</t>
        </is>
      </c>
      <c r="C120" s="17" t="inlineStr">
        <is>
          <t>Rápida</t>
        </is>
      </c>
      <c r="D120" s="17" t="inlineStr">
        <is>
          <t>Não</t>
        </is>
      </c>
      <c r="E120" s="18" t="n">
        <v>45657</v>
      </c>
      <c r="F120" s="18" t="n">
        <v>45657</v>
      </c>
      <c r="G120" s="17" t="n">
        <v>0</v>
      </c>
      <c r="H120" s="17" t="inlineStr">
        <is>
          <t>Enterprise</t>
        </is>
      </c>
      <c r="I120" s="17" t="inlineStr">
        <is>
          <t>monthly</t>
        </is>
      </c>
      <c r="J120" s="17" t="n">
        <v>109</v>
      </c>
      <c r="K120" s="17" t="n">
        <v>7</v>
      </c>
      <c r="L120" s="17" t="inlineStr">
        <is>
          <t>Não</t>
        </is>
      </c>
      <c r="M120" s="17" t="inlineStr">
        <is>
          <t>Não</t>
        </is>
      </c>
      <c r="N120" s="17" t="inlineStr">
        <is>
          <t>Não</t>
        </is>
      </c>
    </row>
    <row r="121">
      <c r="A121" s="17" t="inlineStr">
        <is>
          <t>S-dd3b36</t>
        </is>
      </c>
      <c r="B121" s="17" t="inlineStr">
        <is>
          <t>A-1b7577</t>
        </is>
      </c>
      <c r="C121" s="17" t="inlineStr">
        <is>
          <t>Rápida</t>
        </is>
      </c>
      <c r="D121" s="17" t="inlineStr">
        <is>
          <t>Não</t>
        </is>
      </c>
      <c r="E121" s="18" t="n">
        <v>45622</v>
      </c>
      <c r="F121" s="18" t="n">
        <v>45632</v>
      </c>
      <c r="G121" s="17" t="n">
        <v>10</v>
      </c>
      <c r="H121" s="17" t="inlineStr">
        <is>
          <t>Basic</t>
        </is>
      </c>
      <c r="I121" s="17" t="inlineStr">
        <is>
          <t>monthly</t>
        </is>
      </c>
      <c r="J121" s="17" t="n">
        <v>4</v>
      </c>
      <c r="K121" s="17" t="n">
        <v>6</v>
      </c>
      <c r="L121" s="17" t="inlineStr">
        <is>
          <t>Não</t>
        </is>
      </c>
      <c r="M121" s="17" t="inlineStr">
        <is>
          <t>Sim</t>
        </is>
      </c>
      <c r="N121" s="17" t="inlineStr">
        <is>
          <t>Sim</t>
        </is>
      </c>
    </row>
    <row r="122">
      <c r="A122" s="17" t="inlineStr">
        <is>
          <t>S-670476</t>
        </is>
      </c>
      <c r="B122" s="17" t="inlineStr">
        <is>
          <t>A-8b0451</t>
        </is>
      </c>
      <c r="C122" s="17" t="inlineStr">
        <is>
          <t>Lenta</t>
        </is>
      </c>
      <c r="D122" s="17" t="inlineStr">
        <is>
          <t>Não</t>
        </is>
      </c>
      <c r="E122" s="18" t="n">
        <v>45614</v>
      </c>
      <c r="F122" s="18" t="n">
        <v>45657</v>
      </c>
      <c r="G122" s="17" t="n">
        <v>43</v>
      </c>
      <c r="H122" s="17" t="inlineStr">
        <is>
          <t>Enterprise</t>
        </is>
      </c>
      <c r="I122" s="17" t="inlineStr">
        <is>
          <t>monthly</t>
        </is>
      </c>
      <c r="J122" s="17" t="n">
        <v>41</v>
      </c>
      <c r="K122" s="17" t="n">
        <v>9</v>
      </c>
      <c r="L122" s="17" t="inlineStr">
        <is>
          <t>Não</t>
        </is>
      </c>
      <c r="M122" s="17" t="inlineStr">
        <is>
          <t>Não</t>
        </is>
      </c>
      <c r="N122" s="17" t="inlineStr">
        <is>
          <t>Não</t>
        </is>
      </c>
    </row>
    <row r="123">
      <c r="A123" s="17" t="inlineStr">
        <is>
          <t>S-3781d0</t>
        </is>
      </c>
      <c r="B123" s="17" t="inlineStr">
        <is>
          <t>A-5a215a</t>
        </is>
      </c>
      <c r="C123" s="17" t="inlineStr">
        <is>
          <t>Lenta</t>
        </is>
      </c>
      <c r="D123" s="17" t="inlineStr">
        <is>
          <t>Não</t>
        </is>
      </c>
      <c r="E123" s="18" t="n">
        <v>45422</v>
      </c>
      <c r="F123" s="18" t="n">
        <v>45632</v>
      </c>
      <c r="G123" s="17" t="n">
        <v>210</v>
      </c>
      <c r="H123" s="17" t="inlineStr">
        <is>
          <t>Enterprise</t>
        </is>
      </c>
      <c r="I123" s="17" t="inlineStr">
        <is>
          <t>annual</t>
        </is>
      </c>
      <c r="J123" s="17" t="n">
        <v>87</v>
      </c>
      <c r="K123" s="17" t="n">
        <v>12</v>
      </c>
      <c r="L123" s="17" t="inlineStr">
        <is>
          <t>Não</t>
        </is>
      </c>
      <c r="M123" s="17" t="inlineStr">
        <is>
          <t>Sim</t>
        </is>
      </c>
      <c r="N123" s="17" t="inlineStr">
        <is>
          <t>Sim</t>
        </is>
      </c>
    </row>
    <row r="124">
      <c r="A124" s="17" t="inlineStr">
        <is>
          <t>S-9781fe</t>
        </is>
      </c>
      <c r="B124" s="17" t="inlineStr">
        <is>
          <t>A-40de06</t>
        </is>
      </c>
      <c r="C124" s="17" t="inlineStr">
        <is>
          <t>Lenta</t>
        </is>
      </c>
      <c r="D124" s="17" t="inlineStr">
        <is>
          <t>Não</t>
        </is>
      </c>
      <c r="E124" s="18" t="n">
        <v>45190</v>
      </c>
      <c r="F124" s="18" t="n">
        <v>45649</v>
      </c>
      <c r="G124" s="17" t="n">
        <v>459</v>
      </c>
      <c r="H124" s="17" t="inlineStr">
        <is>
          <t>Pro</t>
        </is>
      </c>
      <c r="I124" s="17" t="inlineStr">
        <is>
          <t>annual</t>
        </is>
      </c>
      <c r="J124" s="17" t="n">
        <v>28</v>
      </c>
      <c r="K124" s="17" t="n">
        <v>15</v>
      </c>
      <c r="L124" s="17" t="inlineStr">
        <is>
          <t>Não</t>
        </is>
      </c>
      <c r="M124" s="17" t="inlineStr">
        <is>
          <t>Não</t>
        </is>
      </c>
      <c r="N124" s="17" t="inlineStr">
        <is>
          <t>Não</t>
        </is>
      </c>
    </row>
    <row r="125">
      <c r="A125" s="17" t="inlineStr">
        <is>
          <t>S-f4a4c8</t>
        </is>
      </c>
      <c r="B125" s="17" t="inlineStr">
        <is>
          <t>A-c37cab</t>
        </is>
      </c>
      <c r="C125" s="17" t="inlineStr">
        <is>
          <t>Lenta</t>
        </is>
      </c>
      <c r="D125" s="17" t="inlineStr">
        <is>
          <t>Não</t>
        </is>
      </c>
      <c r="E125" s="18" t="n">
        <v>45570</v>
      </c>
      <c r="F125" s="18" t="n">
        <v>45639</v>
      </c>
      <c r="G125" s="17" t="n">
        <v>69</v>
      </c>
      <c r="H125" s="17" t="inlineStr">
        <is>
          <t>Enterprise</t>
        </is>
      </c>
      <c r="I125" s="17" t="inlineStr">
        <is>
          <t>monthly</t>
        </is>
      </c>
      <c r="J125" s="17" t="n">
        <v>98</v>
      </c>
      <c r="K125" s="17" t="n">
        <v>9</v>
      </c>
      <c r="L125" s="17" t="inlineStr">
        <is>
          <t>Não</t>
        </is>
      </c>
      <c r="M125" s="17" t="inlineStr">
        <is>
          <t>Sim</t>
        </is>
      </c>
      <c r="N125" s="17" t="inlineStr">
        <is>
          <t>Não</t>
        </is>
      </c>
    </row>
    <row r="126">
      <c r="A126" s="17" t="inlineStr">
        <is>
          <t>S-71827b</t>
        </is>
      </c>
      <c r="B126" s="17" t="inlineStr">
        <is>
          <t>A-65c341</t>
        </is>
      </c>
      <c r="C126" s="17" t="inlineStr">
        <is>
          <t>Rápida</t>
        </is>
      </c>
      <c r="D126" s="17" t="inlineStr">
        <is>
          <t>Não</t>
        </is>
      </c>
      <c r="E126" s="18" t="n">
        <v>45611</v>
      </c>
      <c r="F126" s="18" t="n">
        <v>45619</v>
      </c>
      <c r="G126" s="17" t="n">
        <v>8</v>
      </c>
      <c r="H126" s="17" t="inlineStr">
        <is>
          <t>Pro</t>
        </is>
      </c>
      <c r="I126" s="17" t="inlineStr">
        <is>
          <t>monthly</t>
        </is>
      </c>
      <c r="J126" s="17" t="n">
        <v>39</v>
      </c>
      <c r="K126" s="17" t="n">
        <v>6</v>
      </c>
      <c r="L126" s="17" t="inlineStr">
        <is>
          <t>Não</t>
        </is>
      </c>
      <c r="M126" s="17" t="inlineStr">
        <is>
          <t>Não</t>
        </is>
      </c>
      <c r="N126" s="17" t="inlineStr">
        <is>
          <t>Não</t>
        </is>
      </c>
    </row>
    <row r="127">
      <c r="A127" s="17" t="inlineStr">
        <is>
          <t>S-d90f5e</t>
        </is>
      </c>
      <c r="B127" s="17" t="inlineStr">
        <is>
          <t>A-bd4513</t>
        </is>
      </c>
      <c r="C127" s="17" t="inlineStr">
        <is>
          <t>Rápida</t>
        </is>
      </c>
      <c r="D127" s="17" t="inlineStr">
        <is>
          <t>Não</t>
        </is>
      </c>
      <c r="E127" s="18" t="n">
        <v>45641</v>
      </c>
      <c r="F127" s="18" t="n">
        <v>45648</v>
      </c>
      <c r="G127" s="17" t="n">
        <v>7</v>
      </c>
      <c r="H127" s="17" t="inlineStr">
        <is>
          <t>Basic</t>
        </is>
      </c>
      <c r="I127" s="17" t="inlineStr">
        <is>
          <t>annual</t>
        </is>
      </c>
      <c r="J127" s="17" t="n">
        <v>50</v>
      </c>
      <c r="K127" s="17" t="n">
        <v>9</v>
      </c>
      <c r="L127" s="17" t="inlineStr">
        <is>
          <t>Não</t>
        </is>
      </c>
      <c r="M127" s="17" t="inlineStr">
        <is>
          <t>Sim</t>
        </is>
      </c>
      <c r="N127" s="17" t="inlineStr">
        <is>
          <t>Sim</t>
        </is>
      </c>
    </row>
    <row r="128">
      <c r="A128" s="17" t="inlineStr">
        <is>
          <t>S-b7d291</t>
        </is>
      </c>
      <c r="B128" s="17" t="inlineStr">
        <is>
          <t>A-f6b2fb</t>
        </is>
      </c>
      <c r="C128" s="17" t="inlineStr">
        <is>
          <t>Lenta</t>
        </is>
      </c>
      <c r="D128" s="17" t="inlineStr">
        <is>
          <t>Não</t>
        </is>
      </c>
      <c r="E128" s="18" t="n">
        <v>45582</v>
      </c>
      <c r="F128" s="18" t="n">
        <v>45643</v>
      </c>
      <c r="G128" s="17" t="n">
        <v>61</v>
      </c>
      <c r="H128" s="17" t="inlineStr">
        <is>
          <t>Pro</t>
        </is>
      </c>
      <c r="I128" s="17" t="inlineStr">
        <is>
          <t>annual</t>
        </is>
      </c>
      <c r="J128" s="17" t="n">
        <v>23</v>
      </c>
      <c r="K128" s="17" t="n">
        <v>9</v>
      </c>
      <c r="L128" s="17" t="inlineStr">
        <is>
          <t>Não</t>
        </is>
      </c>
      <c r="M128" s="17" t="inlineStr">
        <is>
          <t>Não</t>
        </is>
      </c>
      <c r="N128" s="17" t="inlineStr">
        <is>
          <t>Não</t>
        </is>
      </c>
    </row>
    <row r="129">
      <c r="A129" s="17" t="inlineStr">
        <is>
          <t>S-d1a6c6</t>
        </is>
      </c>
      <c r="B129" s="17" t="inlineStr">
        <is>
          <t>A-443b7c</t>
        </is>
      </c>
      <c r="C129" s="17" t="inlineStr">
        <is>
          <t>Rápida</t>
        </is>
      </c>
      <c r="D129" s="17" t="inlineStr">
        <is>
          <t>Não</t>
        </is>
      </c>
      <c r="E129" s="18" t="n">
        <v>45652</v>
      </c>
      <c r="F129" s="18" t="n">
        <v>45655</v>
      </c>
      <c r="G129" s="17" t="n">
        <v>3</v>
      </c>
      <c r="H129" s="17" t="inlineStr">
        <is>
          <t>Basic</t>
        </is>
      </c>
      <c r="I129" s="17" t="inlineStr">
        <is>
          <t>monthly</t>
        </is>
      </c>
      <c r="J129" s="17" t="n">
        <v>17</v>
      </c>
      <c r="K129" s="17" t="n">
        <v>14</v>
      </c>
      <c r="L129" s="17" t="inlineStr">
        <is>
          <t>Não</t>
        </is>
      </c>
      <c r="M129" s="17" t="inlineStr">
        <is>
          <t>Sim</t>
        </is>
      </c>
      <c r="N129" s="17" t="inlineStr">
        <is>
          <t>Não</t>
        </is>
      </c>
    </row>
    <row r="130">
      <c r="A130" s="17" t="inlineStr">
        <is>
          <t>S-bd3e24</t>
        </is>
      </c>
      <c r="B130" s="17" t="inlineStr">
        <is>
          <t>A-ffc04f</t>
        </is>
      </c>
      <c r="C130" s="17" t="inlineStr">
        <is>
          <t>Rápida</t>
        </is>
      </c>
      <c r="D130" s="17" t="inlineStr">
        <is>
          <t>Não</t>
        </is>
      </c>
      <c r="E130" s="18" t="n">
        <v>45647</v>
      </c>
      <c r="F130" s="18" t="n">
        <v>45647</v>
      </c>
      <c r="G130" s="17" t="n">
        <v>0</v>
      </c>
      <c r="H130" s="17" t="inlineStr">
        <is>
          <t>Pro</t>
        </is>
      </c>
      <c r="I130" s="17" t="inlineStr">
        <is>
          <t>annual</t>
        </is>
      </c>
      <c r="J130" s="17" t="n">
        <v>13</v>
      </c>
      <c r="K130" s="17" t="n">
        <v>12</v>
      </c>
      <c r="L130" s="17" t="inlineStr">
        <is>
          <t>Não</t>
        </is>
      </c>
      <c r="M130" s="17" t="inlineStr">
        <is>
          <t>Sim</t>
        </is>
      </c>
      <c r="N130" s="17" t="inlineStr">
        <is>
          <t>Sim</t>
        </is>
      </c>
    </row>
    <row r="131">
      <c r="A131" s="17" t="inlineStr">
        <is>
          <t>S-731ee3</t>
        </is>
      </c>
      <c r="B131" s="17" t="inlineStr">
        <is>
          <t>A-9077b0</t>
        </is>
      </c>
      <c r="C131" s="17" t="inlineStr">
        <is>
          <t>Rápida</t>
        </is>
      </c>
      <c r="D131" s="17" t="inlineStr">
        <is>
          <t>Não</t>
        </is>
      </c>
      <c r="E131" s="18" t="n">
        <v>45605</v>
      </c>
      <c r="F131" s="18" t="n">
        <v>45633</v>
      </c>
      <c r="G131" s="17" t="n">
        <v>28</v>
      </c>
      <c r="H131" s="17" t="inlineStr">
        <is>
          <t>Enterprise</t>
        </is>
      </c>
      <c r="I131" s="17" t="inlineStr">
        <is>
          <t>annual</t>
        </is>
      </c>
      <c r="J131" s="17" t="n">
        <v>14</v>
      </c>
      <c r="K131" s="17" t="n">
        <v>2</v>
      </c>
      <c r="L131" s="17" t="inlineStr">
        <is>
          <t>Não</t>
        </is>
      </c>
      <c r="M131" s="17" t="inlineStr">
        <is>
          <t>Sim</t>
        </is>
      </c>
      <c r="N131" s="17" t="inlineStr">
        <is>
          <t>Não</t>
        </is>
      </c>
    </row>
    <row r="132">
      <c r="A132" s="17" t="inlineStr">
        <is>
          <t>S-ca1cb9</t>
        </is>
      </c>
      <c r="B132" s="17" t="inlineStr">
        <is>
          <t>A-5a215a</t>
        </is>
      </c>
      <c r="C132" s="17" t="inlineStr">
        <is>
          <t>Lenta</t>
        </is>
      </c>
      <c r="D132" s="17" t="inlineStr">
        <is>
          <t>Não</t>
        </is>
      </c>
      <c r="E132" s="18" t="n">
        <v>45551</v>
      </c>
      <c r="F132" s="18" t="n">
        <v>45609</v>
      </c>
      <c r="G132" s="17" t="n">
        <v>58</v>
      </c>
      <c r="H132" s="17" t="inlineStr">
        <is>
          <t>Enterprise</t>
        </is>
      </c>
      <c r="I132" s="17" t="inlineStr">
        <is>
          <t>annual</t>
        </is>
      </c>
      <c r="J132" s="17" t="n">
        <v>87</v>
      </c>
      <c r="K132" s="17" t="n">
        <v>13</v>
      </c>
      <c r="L132" s="17" t="inlineStr">
        <is>
          <t>Não</t>
        </is>
      </c>
      <c r="M132" s="17" t="inlineStr">
        <is>
          <t>Não</t>
        </is>
      </c>
      <c r="N132" s="17" t="inlineStr">
        <is>
          <t>Não</t>
        </is>
      </c>
    </row>
    <row r="133">
      <c r="A133" s="17" t="inlineStr">
        <is>
          <t>S-f22b7f</t>
        </is>
      </c>
      <c r="B133" s="17" t="inlineStr">
        <is>
          <t>A-b44e3e</t>
        </is>
      </c>
      <c r="C133" s="17" t="inlineStr">
        <is>
          <t>Rápida</t>
        </is>
      </c>
      <c r="D133" s="17" t="inlineStr">
        <is>
          <t>Não</t>
        </is>
      </c>
      <c r="E133" s="18" t="n">
        <v>45653</v>
      </c>
      <c r="F133" s="18" t="n">
        <v>45653</v>
      </c>
      <c r="G133" s="17" t="n">
        <v>0</v>
      </c>
      <c r="H133" s="17" t="inlineStr">
        <is>
          <t>Enterprise</t>
        </is>
      </c>
      <c r="I133" s="17" t="inlineStr">
        <is>
          <t>annual</t>
        </is>
      </c>
      <c r="J133" s="17" t="n">
        <v>40</v>
      </c>
      <c r="K133" s="17" t="n">
        <v>6</v>
      </c>
      <c r="L133" s="17" t="inlineStr">
        <is>
          <t>Não</t>
        </is>
      </c>
      <c r="M133" s="17" t="inlineStr">
        <is>
          <t>Não</t>
        </is>
      </c>
      <c r="N133" s="17" t="inlineStr">
        <is>
          <t>Não</t>
        </is>
      </c>
    </row>
    <row r="134">
      <c r="A134" s="17" t="inlineStr">
        <is>
          <t>S-369495</t>
        </is>
      </c>
      <c r="B134" s="17" t="inlineStr">
        <is>
          <t>A-b3fe05</t>
        </is>
      </c>
      <c r="C134" s="17" t="inlineStr">
        <is>
          <t>Rápida</t>
        </is>
      </c>
      <c r="D134" s="17" t="inlineStr">
        <is>
          <t>Não</t>
        </is>
      </c>
      <c r="E134" s="18" t="n">
        <v>45585</v>
      </c>
      <c r="F134" s="18" t="n">
        <v>45614</v>
      </c>
      <c r="G134" s="17" t="n">
        <v>29</v>
      </c>
      <c r="H134" s="17" t="inlineStr">
        <is>
          <t>Pro</t>
        </is>
      </c>
      <c r="I134" s="17" t="inlineStr">
        <is>
          <t>monthly</t>
        </is>
      </c>
      <c r="J134" s="17" t="n">
        <v>8</v>
      </c>
      <c r="K134" s="17" t="n">
        <v>7</v>
      </c>
      <c r="L134" s="17" t="inlineStr">
        <is>
          <t>Não</t>
        </is>
      </c>
      <c r="M134" s="17" t="inlineStr">
        <is>
          <t>Sim</t>
        </is>
      </c>
      <c r="N134" s="17" t="inlineStr">
        <is>
          <t>Não</t>
        </is>
      </c>
    </row>
    <row r="135">
      <c r="A135" s="17" t="inlineStr">
        <is>
          <t>S-d19216</t>
        </is>
      </c>
      <c r="B135" s="17" t="inlineStr">
        <is>
          <t>A-17939a</t>
        </is>
      </c>
      <c r="C135" s="17" t="inlineStr">
        <is>
          <t>Rápida</t>
        </is>
      </c>
      <c r="D135" s="17" t="inlineStr">
        <is>
          <t>Não</t>
        </is>
      </c>
      <c r="E135" s="18" t="n">
        <v>45654</v>
      </c>
      <c r="F135" s="18" t="n">
        <v>45655</v>
      </c>
      <c r="G135" s="17" t="n">
        <v>1</v>
      </c>
      <c r="H135" s="17" t="inlineStr">
        <is>
          <t>Basic</t>
        </is>
      </c>
      <c r="I135" s="17" t="inlineStr">
        <is>
          <t>monthly</t>
        </is>
      </c>
      <c r="J135" s="17" t="n">
        <v>86</v>
      </c>
      <c r="K135" s="17" t="n">
        <v>6</v>
      </c>
      <c r="L135" s="17" t="inlineStr">
        <is>
          <t>Não</t>
        </is>
      </c>
      <c r="M135" s="17" t="inlineStr">
        <is>
          <t>Sim</t>
        </is>
      </c>
      <c r="N135" s="17" t="inlineStr">
        <is>
          <t>Não</t>
        </is>
      </c>
    </row>
    <row r="136">
      <c r="A136" s="17" t="inlineStr">
        <is>
          <t>S-84e146</t>
        </is>
      </c>
      <c r="B136" s="17" t="inlineStr">
        <is>
          <t>A-d82ef9</t>
        </is>
      </c>
      <c r="C136" s="17" t="inlineStr">
        <is>
          <t>Lenta</t>
        </is>
      </c>
      <c r="D136" s="17" t="inlineStr">
        <is>
          <t>Não</t>
        </is>
      </c>
      <c r="E136" s="18" t="n">
        <v>45494</v>
      </c>
      <c r="F136" s="18" t="n">
        <v>45620</v>
      </c>
      <c r="G136" s="17" t="n">
        <v>126</v>
      </c>
      <c r="H136" s="17" t="inlineStr">
        <is>
          <t>Basic</t>
        </is>
      </c>
      <c r="I136" s="17" t="inlineStr">
        <is>
          <t>monthly</t>
        </is>
      </c>
      <c r="J136" s="17" t="n">
        <v>53</v>
      </c>
      <c r="K136" s="17" t="n">
        <v>11</v>
      </c>
      <c r="L136" s="17" t="inlineStr">
        <is>
          <t>Não</t>
        </is>
      </c>
      <c r="M136" s="17" t="inlineStr">
        <is>
          <t>Sim</t>
        </is>
      </c>
      <c r="N136" s="17" t="inlineStr">
        <is>
          <t>Não</t>
        </is>
      </c>
    </row>
    <row r="137">
      <c r="A137" s="17" t="inlineStr">
        <is>
          <t>S-6f0169</t>
        </is>
      </c>
      <c r="B137" s="17" t="inlineStr">
        <is>
          <t>A-86cdb4</t>
        </is>
      </c>
      <c r="C137" s="17" t="inlineStr">
        <is>
          <t>Rápida</t>
        </is>
      </c>
      <c r="D137" s="17" t="inlineStr">
        <is>
          <t>Não</t>
        </is>
      </c>
      <c r="E137" s="18" t="n">
        <v>45588</v>
      </c>
      <c r="F137" s="18" t="n">
        <v>45602</v>
      </c>
      <c r="G137" s="17" t="n">
        <v>14</v>
      </c>
      <c r="H137" s="17" t="inlineStr">
        <is>
          <t>Pro</t>
        </is>
      </c>
      <c r="I137" s="17" t="inlineStr">
        <is>
          <t>monthly</t>
        </is>
      </c>
      <c r="J137" s="17" t="n">
        <v>3</v>
      </c>
      <c r="K137" s="17" t="n">
        <v>4</v>
      </c>
      <c r="L137" s="17" t="inlineStr">
        <is>
          <t>Não</t>
        </is>
      </c>
      <c r="M137" s="17" t="inlineStr">
        <is>
          <t>Sim</t>
        </is>
      </c>
      <c r="N137" s="17" t="inlineStr">
        <is>
          <t>Não</t>
        </is>
      </c>
    </row>
    <row r="138">
      <c r="A138" s="17" t="inlineStr">
        <is>
          <t>S-82a67a</t>
        </is>
      </c>
      <c r="B138" s="17" t="inlineStr">
        <is>
          <t>A-712426</t>
        </is>
      </c>
      <c r="C138" s="17" t="inlineStr">
        <is>
          <t>Rápida</t>
        </is>
      </c>
      <c r="D138" s="17" t="inlineStr">
        <is>
          <t>Sim</t>
        </is>
      </c>
      <c r="E138" s="18" t="n">
        <v>45637</v>
      </c>
      <c r="F138" s="18" t="n">
        <v>45639</v>
      </c>
      <c r="G138" s="17" t="n">
        <v>2</v>
      </c>
      <c r="H138" s="17" t="inlineStr">
        <is>
          <t>Pro</t>
        </is>
      </c>
      <c r="I138" s="17" t="inlineStr">
        <is>
          <t>annual</t>
        </is>
      </c>
      <c r="J138" s="17" t="n">
        <v>15</v>
      </c>
      <c r="K138" s="17" t="n">
        <v>8</v>
      </c>
      <c r="L138" s="17" t="inlineStr">
        <is>
          <t>Não</t>
        </is>
      </c>
      <c r="M138" s="17" t="inlineStr">
        <is>
          <t>Sim</t>
        </is>
      </c>
      <c r="N138" s="17" t="inlineStr">
        <is>
          <t>Não</t>
        </is>
      </c>
    </row>
    <row r="139">
      <c r="A139" s="17" t="inlineStr">
        <is>
          <t>S-9bf16e</t>
        </is>
      </c>
      <c r="B139" s="17" t="inlineStr">
        <is>
          <t>A-533452</t>
        </is>
      </c>
      <c r="C139" s="17" t="inlineStr">
        <is>
          <t>Rápida</t>
        </is>
      </c>
      <c r="D139" s="17" t="inlineStr">
        <is>
          <t>Sim</t>
        </is>
      </c>
      <c r="E139" s="18" t="n">
        <v>45619</v>
      </c>
      <c r="F139" s="18" t="n">
        <v>45646</v>
      </c>
      <c r="G139" s="17" t="n">
        <v>27</v>
      </c>
      <c r="H139" s="17" t="inlineStr">
        <is>
          <t>Pro</t>
        </is>
      </c>
      <c r="I139" s="17" t="inlineStr">
        <is>
          <t>monthly</t>
        </is>
      </c>
      <c r="J139" s="17" t="n">
        <v>9</v>
      </c>
      <c r="K139" s="17" t="n">
        <v>9</v>
      </c>
      <c r="L139" s="17" t="inlineStr">
        <is>
          <t>Não</t>
        </is>
      </c>
      <c r="M139" s="17" t="inlineStr">
        <is>
          <t>Sim</t>
        </is>
      </c>
      <c r="N139" s="17" t="inlineStr">
        <is>
          <t>Sim</t>
        </is>
      </c>
    </row>
    <row r="140">
      <c r="A140" s="17" t="inlineStr">
        <is>
          <t>S-5d5a8d</t>
        </is>
      </c>
      <c r="B140" s="17" t="inlineStr">
        <is>
          <t>A-2922b6</t>
        </is>
      </c>
      <c r="C140" s="17" t="inlineStr">
        <is>
          <t>Rápida</t>
        </is>
      </c>
      <c r="D140" s="17" t="inlineStr">
        <is>
          <t>Não</t>
        </is>
      </c>
      <c r="E140" s="18" t="n">
        <v>45643</v>
      </c>
      <c r="F140" s="18" t="n">
        <v>45654</v>
      </c>
      <c r="G140" s="17" t="n">
        <v>11</v>
      </c>
      <c r="H140" s="17" t="inlineStr">
        <is>
          <t>Pro</t>
        </is>
      </c>
      <c r="I140" s="17" t="inlineStr">
        <is>
          <t>annual</t>
        </is>
      </c>
      <c r="J140" s="17" t="n">
        <v>15</v>
      </c>
      <c r="K140" s="17" t="n">
        <v>5</v>
      </c>
      <c r="L140" s="17" t="inlineStr">
        <is>
          <t>Não</t>
        </is>
      </c>
      <c r="M140" s="17" t="inlineStr">
        <is>
          <t>Sim</t>
        </is>
      </c>
      <c r="N140" s="17" t="inlineStr">
        <is>
          <t>Não</t>
        </is>
      </c>
    </row>
    <row r="141">
      <c r="A141" s="17" t="inlineStr">
        <is>
          <t>S-7452a4</t>
        </is>
      </c>
      <c r="B141" s="17" t="inlineStr">
        <is>
          <t>A-118d55</t>
        </is>
      </c>
      <c r="C141" s="17" t="inlineStr">
        <is>
          <t>Rápida</t>
        </is>
      </c>
      <c r="D141" s="17" t="inlineStr">
        <is>
          <t>Não</t>
        </is>
      </c>
      <c r="E141" s="18" t="n">
        <v>45656</v>
      </c>
      <c r="F141" s="18" t="n">
        <v>45657</v>
      </c>
      <c r="G141" s="17" t="n">
        <v>1</v>
      </c>
      <c r="H141" s="17" t="inlineStr">
        <is>
          <t>Enterprise</t>
        </is>
      </c>
      <c r="I141" s="17" t="inlineStr">
        <is>
          <t>monthly</t>
        </is>
      </c>
      <c r="J141" s="17" t="n">
        <v>29</v>
      </c>
      <c r="K141" s="17" t="n">
        <v>11</v>
      </c>
      <c r="L141" s="17" t="inlineStr">
        <is>
          <t>Não</t>
        </is>
      </c>
      <c r="M141" s="17" t="inlineStr">
        <is>
          <t>Sim</t>
        </is>
      </c>
      <c r="N141" s="17" t="inlineStr">
        <is>
          <t>Não</t>
        </is>
      </c>
    </row>
    <row r="142">
      <c r="A142" s="17" t="inlineStr">
        <is>
          <t>S-7b65f4</t>
        </is>
      </c>
      <c r="B142" s="17" t="inlineStr">
        <is>
          <t>A-7f29a7</t>
        </is>
      </c>
      <c r="C142" s="17" t="inlineStr">
        <is>
          <t>Rápida</t>
        </is>
      </c>
      <c r="D142" s="17" t="inlineStr">
        <is>
          <t>Não</t>
        </is>
      </c>
      <c r="E142" s="18" t="n">
        <v>45603</v>
      </c>
      <c r="F142" s="18" t="n">
        <v>45628</v>
      </c>
      <c r="G142" s="17" t="n">
        <v>25</v>
      </c>
      <c r="H142" s="17" t="inlineStr">
        <is>
          <t>Basic</t>
        </is>
      </c>
      <c r="I142" s="17" t="inlineStr">
        <is>
          <t>monthly</t>
        </is>
      </c>
      <c r="J142" s="17" t="n">
        <v>41</v>
      </c>
      <c r="K142" s="17" t="n">
        <v>6</v>
      </c>
      <c r="L142" s="17" t="inlineStr">
        <is>
          <t>Não</t>
        </is>
      </c>
      <c r="M142" s="17" t="inlineStr">
        <is>
          <t>Sim</t>
        </is>
      </c>
      <c r="N142" s="17" t="inlineStr">
        <is>
          <t>Sim</t>
        </is>
      </c>
    </row>
    <row r="143">
      <c r="A143" s="17" t="inlineStr">
        <is>
          <t>S-8b9deb</t>
        </is>
      </c>
      <c r="B143" s="17" t="inlineStr">
        <is>
          <t>A-6c093d</t>
        </is>
      </c>
      <c r="C143" s="17" t="inlineStr">
        <is>
          <t>Lenta</t>
        </is>
      </c>
      <c r="D143" s="17" t="inlineStr">
        <is>
          <t>Não</t>
        </is>
      </c>
      <c r="E143" s="18" t="n">
        <v>45547</v>
      </c>
      <c r="F143" s="18" t="n">
        <v>45597</v>
      </c>
      <c r="G143" s="17" t="n">
        <v>50</v>
      </c>
      <c r="H143" s="17" t="inlineStr">
        <is>
          <t>Pro</t>
        </is>
      </c>
      <c r="I143" s="17" t="inlineStr">
        <is>
          <t>monthly</t>
        </is>
      </c>
      <c r="J143" s="17" t="n">
        <v>7</v>
      </c>
      <c r="K143" s="17" t="n">
        <v>8</v>
      </c>
      <c r="L143" s="17" t="inlineStr">
        <is>
          <t>Não</t>
        </is>
      </c>
      <c r="M143" s="17" t="inlineStr">
        <is>
          <t>Não</t>
        </is>
      </c>
      <c r="N143" s="17" t="inlineStr">
        <is>
          <t>Não</t>
        </is>
      </c>
    </row>
    <row r="144">
      <c r="A144" s="17" t="inlineStr">
        <is>
          <t>S-021985</t>
        </is>
      </c>
      <c r="B144" s="17" t="inlineStr">
        <is>
          <t>A-66224b</t>
        </is>
      </c>
      <c r="C144" s="17" t="inlineStr">
        <is>
          <t>Rápida</t>
        </is>
      </c>
      <c r="D144" s="17" t="inlineStr">
        <is>
          <t>Não</t>
        </is>
      </c>
      <c r="E144" s="18" t="n">
        <v>45648</v>
      </c>
      <c r="F144" s="18" t="n">
        <v>45656</v>
      </c>
      <c r="G144" s="17" t="n">
        <v>8</v>
      </c>
      <c r="H144" s="17" t="inlineStr">
        <is>
          <t>Enterprise</t>
        </is>
      </c>
      <c r="I144" s="17" t="inlineStr">
        <is>
          <t>monthly</t>
        </is>
      </c>
      <c r="J144" s="17" t="n">
        <v>92</v>
      </c>
      <c r="K144" s="17" t="n">
        <v>11</v>
      </c>
      <c r="L144" s="17" t="inlineStr">
        <is>
          <t>Não</t>
        </is>
      </c>
      <c r="M144" s="17" t="inlineStr">
        <is>
          <t>Sim</t>
        </is>
      </c>
      <c r="N144" s="17" t="inlineStr">
        <is>
          <t>Sim</t>
        </is>
      </c>
    </row>
    <row r="145">
      <c r="A145" s="17" t="inlineStr">
        <is>
          <t>S-f15008</t>
        </is>
      </c>
      <c r="B145" s="17" t="inlineStr">
        <is>
          <t>A-0aaf6e</t>
        </is>
      </c>
      <c r="C145" s="17" t="inlineStr">
        <is>
          <t>Rápida</t>
        </is>
      </c>
      <c r="D145" s="17" t="inlineStr">
        <is>
          <t>Não</t>
        </is>
      </c>
      <c r="E145" s="18" t="n">
        <v>45633</v>
      </c>
      <c r="F145" s="18" t="n">
        <v>45641</v>
      </c>
      <c r="G145" s="17" t="n">
        <v>8</v>
      </c>
      <c r="H145" s="17" t="inlineStr">
        <is>
          <t>Pro</t>
        </is>
      </c>
      <c r="I145" s="17" t="inlineStr">
        <is>
          <t>annual</t>
        </is>
      </c>
      <c r="J145" s="17" t="n">
        <v>12</v>
      </c>
      <c r="K145" s="17" t="n">
        <v>6</v>
      </c>
      <c r="L145" s="17" t="inlineStr">
        <is>
          <t>Não</t>
        </is>
      </c>
      <c r="M145" s="17" t="inlineStr">
        <is>
          <t>Não</t>
        </is>
      </c>
      <c r="N145" s="17" t="inlineStr">
        <is>
          <t>Não</t>
        </is>
      </c>
    </row>
    <row r="146">
      <c r="A146" s="17" t="inlineStr">
        <is>
          <t>S-52699f</t>
        </is>
      </c>
      <c r="B146" s="17" t="inlineStr">
        <is>
          <t>A-df10db</t>
        </is>
      </c>
      <c r="C146" s="17" t="inlineStr">
        <is>
          <t>Lenta</t>
        </is>
      </c>
      <c r="D146" s="17" t="inlineStr">
        <is>
          <t>Não</t>
        </is>
      </c>
      <c r="E146" s="18" t="n">
        <v>45163</v>
      </c>
      <c r="F146" s="18" t="n">
        <v>45629</v>
      </c>
      <c r="G146" s="17" t="n">
        <v>466</v>
      </c>
      <c r="H146" s="17" t="inlineStr">
        <is>
          <t>Basic</t>
        </is>
      </c>
      <c r="I146" s="17" t="inlineStr">
        <is>
          <t>monthly</t>
        </is>
      </c>
      <c r="J146" s="17" t="n">
        <v>14</v>
      </c>
      <c r="K146" s="17" t="n">
        <v>10</v>
      </c>
      <c r="L146" s="17" t="inlineStr">
        <is>
          <t>Não</t>
        </is>
      </c>
      <c r="M146" s="17" t="inlineStr">
        <is>
          <t>Não</t>
        </is>
      </c>
      <c r="N146" s="17" t="inlineStr">
        <is>
          <t>Não</t>
        </is>
      </c>
    </row>
    <row r="147">
      <c r="A147" s="17" t="inlineStr">
        <is>
          <t>S-195cd5</t>
        </is>
      </c>
      <c r="B147" s="17" t="inlineStr">
        <is>
          <t>A-ae052e</t>
        </is>
      </c>
      <c r="C147" s="17" t="inlineStr">
        <is>
          <t>Rápida</t>
        </is>
      </c>
      <c r="D147" s="17" t="inlineStr">
        <is>
          <t>Não</t>
        </is>
      </c>
      <c r="E147" s="18" t="n">
        <v>45624</v>
      </c>
      <c r="F147" s="18" t="n">
        <v>45632</v>
      </c>
      <c r="G147" s="17" t="n">
        <v>8</v>
      </c>
      <c r="H147" s="17" t="inlineStr">
        <is>
          <t>Pro</t>
        </is>
      </c>
      <c r="I147" s="17" t="inlineStr">
        <is>
          <t>monthly</t>
        </is>
      </c>
      <c r="J147" s="17" t="n">
        <v>40</v>
      </c>
      <c r="K147" s="17" t="n">
        <v>3</v>
      </c>
      <c r="L147" s="17" t="inlineStr">
        <is>
          <t>Não</t>
        </is>
      </c>
      <c r="M147" s="17" t="inlineStr">
        <is>
          <t>Não</t>
        </is>
      </c>
      <c r="N147" s="17" t="inlineStr">
        <is>
          <t>Não</t>
        </is>
      </c>
    </row>
    <row r="148">
      <c r="A148" s="17" t="inlineStr">
        <is>
          <t>S-504bce</t>
        </is>
      </c>
      <c r="B148" s="17" t="inlineStr">
        <is>
          <t>A-474ad4</t>
        </is>
      </c>
      <c r="C148" s="17" t="inlineStr">
        <is>
          <t>Lenta</t>
        </is>
      </c>
      <c r="D148" s="17" t="inlineStr">
        <is>
          <t>Não</t>
        </is>
      </c>
      <c r="E148" s="18" t="n">
        <v>45624</v>
      </c>
      <c r="F148" s="18" t="n">
        <v>45656</v>
      </c>
      <c r="G148" s="17" t="n">
        <v>32</v>
      </c>
      <c r="H148" s="17" t="inlineStr">
        <is>
          <t>Enterprise</t>
        </is>
      </c>
      <c r="I148" s="17" t="inlineStr">
        <is>
          <t>annual</t>
        </is>
      </c>
      <c r="J148" s="17" t="n">
        <v>41</v>
      </c>
      <c r="K148" s="17" t="n">
        <v>13</v>
      </c>
      <c r="L148" s="17" t="inlineStr">
        <is>
          <t>Não</t>
        </is>
      </c>
      <c r="M148" s="17" t="inlineStr">
        <is>
          <t>Sim</t>
        </is>
      </c>
      <c r="N148" s="17" t="inlineStr">
        <is>
          <t>Não</t>
        </is>
      </c>
    </row>
    <row r="149">
      <c r="A149" s="17" t="inlineStr">
        <is>
          <t>S-1b7677</t>
        </is>
      </c>
      <c r="B149" s="17" t="inlineStr">
        <is>
          <t>A-ced9aa</t>
        </is>
      </c>
      <c r="C149" s="17" t="inlineStr">
        <is>
          <t>Rápida</t>
        </is>
      </c>
      <c r="D149" s="17" t="inlineStr">
        <is>
          <t>Não</t>
        </is>
      </c>
      <c r="E149" s="18" t="n">
        <v>45630</v>
      </c>
      <c r="F149" s="18" t="n">
        <v>45646</v>
      </c>
      <c r="G149" s="17" t="n">
        <v>16</v>
      </c>
      <c r="H149" s="17" t="inlineStr">
        <is>
          <t>Enterprise</t>
        </is>
      </c>
      <c r="I149" s="17" t="inlineStr">
        <is>
          <t>annual</t>
        </is>
      </c>
      <c r="J149" s="17" t="n">
        <v>6</v>
      </c>
      <c r="K149" s="17" t="n">
        <v>7</v>
      </c>
      <c r="L149" s="17" t="inlineStr">
        <is>
          <t>Não</t>
        </is>
      </c>
      <c r="M149" s="17" t="inlineStr">
        <is>
          <t>Sim</t>
        </is>
      </c>
      <c r="N149" s="17" t="inlineStr">
        <is>
          <t>Não</t>
        </is>
      </c>
    </row>
    <row r="150">
      <c r="A150" s="17" t="inlineStr">
        <is>
          <t>S-b8d2f6</t>
        </is>
      </c>
      <c r="B150" s="17" t="inlineStr">
        <is>
          <t>A-17939a</t>
        </is>
      </c>
      <c r="C150" s="17" t="inlineStr">
        <is>
          <t>Rápida</t>
        </is>
      </c>
      <c r="D150" s="17" t="inlineStr">
        <is>
          <t>Não</t>
        </is>
      </c>
      <c r="E150" s="18" t="n">
        <v>45654</v>
      </c>
      <c r="F150" s="18" t="n">
        <v>45656</v>
      </c>
      <c r="G150" s="17" t="n">
        <v>2</v>
      </c>
      <c r="H150" s="17" t="inlineStr">
        <is>
          <t>Basic</t>
        </is>
      </c>
      <c r="I150" s="17" t="inlineStr">
        <is>
          <t>monthly</t>
        </is>
      </c>
      <c r="J150" s="17" t="n">
        <v>19</v>
      </c>
      <c r="K150" s="17" t="n">
        <v>8</v>
      </c>
      <c r="L150" s="17" t="inlineStr">
        <is>
          <t>Não</t>
        </is>
      </c>
      <c r="M150" s="17" t="inlineStr">
        <is>
          <t>Sim</t>
        </is>
      </c>
      <c r="N150" s="17" t="inlineStr">
        <is>
          <t>Não</t>
        </is>
      </c>
    </row>
    <row r="151">
      <c r="A151" s="17" t="inlineStr">
        <is>
          <t>S-80c24c</t>
        </is>
      </c>
      <c r="B151" s="17" t="inlineStr">
        <is>
          <t>A-139c3b</t>
        </is>
      </c>
      <c r="C151" s="17" t="inlineStr">
        <is>
          <t>Lenta</t>
        </is>
      </c>
      <c r="D151" s="17" t="inlineStr">
        <is>
          <t>Não</t>
        </is>
      </c>
      <c r="E151" s="18" t="n">
        <v>45622</v>
      </c>
      <c r="F151" s="18" t="n">
        <v>45657</v>
      </c>
      <c r="G151" s="17" t="n">
        <v>35</v>
      </c>
      <c r="H151" s="17" t="inlineStr">
        <is>
          <t>Pro</t>
        </is>
      </c>
      <c r="I151" s="17" t="inlineStr">
        <is>
          <t>monthly</t>
        </is>
      </c>
      <c r="J151" s="17" t="n">
        <v>17</v>
      </c>
      <c r="K151" s="17" t="n">
        <v>6</v>
      </c>
      <c r="L151" s="17" t="inlineStr">
        <is>
          <t>Não</t>
        </is>
      </c>
      <c r="M151" s="17" t="inlineStr">
        <is>
          <t>Sim</t>
        </is>
      </c>
      <c r="N151" s="17" t="inlineStr">
        <is>
          <t>Não</t>
        </is>
      </c>
    </row>
    <row r="152">
      <c r="A152" s="17" t="inlineStr">
        <is>
          <t>S-3c52a6</t>
        </is>
      </c>
      <c r="B152" s="17" t="inlineStr">
        <is>
          <t>A-2f6a32</t>
        </is>
      </c>
      <c r="C152" s="17" t="inlineStr">
        <is>
          <t>Lenta</t>
        </is>
      </c>
      <c r="D152" s="17" t="inlineStr">
        <is>
          <t>Não</t>
        </is>
      </c>
      <c r="E152" s="18" t="n">
        <v>45560</v>
      </c>
      <c r="F152" s="18" t="n">
        <v>45612</v>
      </c>
      <c r="G152" s="17" t="n">
        <v>52</v>
      </c>
      <c r="H152" s="17" t="inlineStr">
        <is>
          <t>Basic</t>
        </is>
      </c>
      <c r="I152" s="17" t="inlineStr">
        <is>
          <t>annual</t>
        </is>
      </c>
      <c r="J152" s="17" t="n">
        <v>19</v>
      </c>
      <c r="K152" s="17" t="n">
        <v>6</v>
      </c>
      <c r="L152" s="17" t="inlineStr">
        <is>
          <t>Não</t>
        </is>
      </c>
      <c r="M152" s="17" t="inlineStr">
        <is>
          <t>Sim</t>
        </is>
      </c>
      <c r="N152" s="17" t="inlineStr">
        <is>
          <t>Sim</t>
        </is>
      </c>
    </row>
    <row r="153">
      <c r="A153" s="17" t="inlineStr">
        <is>
          <t>S-b8fcc5</t>
        </is>
      </c>
      <c r="B153" s="17" t="inlineStr">
        <is>
          <t>A-dbc825</t>
        </is>
      </c>
      <c r="C153" s="17" t="inlineStr">
        <is>
          <t>Lenta</t>
        </is>
      </c>
      <c r="D153" s="17" t="inlineStr">
        <is>
          <t>Não</t>
        </is>
      </c>
      <c r="E153" s="18" t="n">
        <v>45472</v>
      </c>
      <c r="F153" s="18" t="n">
        <v>45616</v>
      </c>
      <c r="G153" s="17" t="n">
        <v>144</v>
      </c>
      <c r="H153" s="17" t="inlineStr">
        <is>
          <t>Basic</t>
        </is>
      </c>
      <c r="I153" s="17" t="inlineStr">
        <is>
          <t>annual</t>
        </is>
      </c>
      <c r="J153" s="17" t="n">
        <v>85</v>
      </c>
      <c r="K153" s="17" t="n">
        <v>12</v>
      </c>
      <c r="L153" s="17" t="inlineStr">
        <is>
          <t>Não</t>
        </is>
      </c>
      <c r="M153" s="17" t="inlineStr">
        <is>
          <t>Sim</t>
        </is>
      </c>
      <c r="N153" s="17" t="inlineStr">
        <is>
          <t>Não</t>
        </is>
      </c>
    </row>
    <row r="154">
      <c r="A154" s="17" t="inlineStr">
        <is>
          <t>S-632337</t>
        </is>
      </c>
      <c r="B154" s="17" t="inlineStr">
        <is>
          <t>A-7da956</t>
        </is>
      </c>
      <c r="C154" s="17" t="inlineStr">
        <is>
          <t>Lenta</t>
        </is>
      </c>
      <c r="D154" s="17" t="inlineStr">
        <is>
          <t>Não</t>
        </is>
      </c>
      <c r="E154" s="18" t="n">
        <v>45561</v>
      </c>
      <c r="F154" s="18" t="n">
        <v>45655</v>
      </c>
      <c r="G154" s="17" t="n">
        <v>94</v>
      </c>
      <c r="H154" s="17" t="inlineStr">
        <is>
          <t>Enterprise</t>
        </is>
      </c>
      <c r="I154" s="17" t="inlineStr">
        <is>
          <t>monthly</t>
        </is>
      </c>
      <c r="J154" s="17" t="n">
        <v>14</v>
      </c>
      <c r="K154" s="17" t="n">
        <v>10</v>
      </c>
      <c r="L154" s="17" t="inlineStr">
        <is>
          <t>Não</t>
        </is>
      </c>
      <c r="M154" s="17" t="inlineStr">
        <is>
          <t>Não</t>
        </is>
      </c>
      <c r="N154" s="17" t="inlineStr">
        <is>
          <t>Não</t>
        </is>
      </c>
    </row>
    <row r="155">
      <c r="A155" s="17" t="inlineStr">
        <is>
          <t>S-a3ab14</t>
        </is>
      </c>
      <c r="B155" s="17" t="inlineStr">
        <is>
          <t>A-fdfc91</t>
        </is>
      </c>
      <c r="C155" s="17" t="inlineStr">
        <is>
          <t>Lenta</t>
        </is>
      </c>
      <c r="D155" s="17" t="inlineStr">
        <is>
          <t>Não</t>
        </is>
      </c>
      <c r="E155" s="18" t="n">
        <v>45504</v>
      </c>
      <c r="F155" s="18" t="n">
        <v>45606</v>
      </c>
      <c r="G155" s="17" t="n">
        <v>102</v>
      </c>
      <c r="H155" s="17" t="inlineStr">
        <is>
          <t>Pro</t>
        </is>
      </c>
      <c r="I155" s="17" t="inlineStr">
        <is>
          <t>annual</t>
        </is>
      </c>
      <c r="J155" s="17" t="n">
        <v>29</v>
      </c>
      <c r="K155" s="17" t="n">
        <v>9</v>
      </c>
      <c r="L155" s="17" t="inlineStr">
        <is>
          <t>Não</t>
        </is>
      </c>
      <c r="M155" s="17" t="inlineStr">
        <is>
          <t>Não</t>
        </is>
      </c>
      <c r="N155" s="17" t="inlineStr">
        <is>
          <t>Não</t>
        </is>
      </c>
    </row>
    <row r="156">
      <c r="A156" s="17" t="inlineStr">
        <is>
          <t>S-7dcec3</t>
        </is>
      </c>
      <c r="B156" s="17" t="inlineStr">
        <is>
          <t>A-c37601</t>
        </is>
      </c>
      <c r="C156" s="17" t="inlineStr">
        <is>
          <t>Rápida</t>
        </is>
      </c>
      <c r="D156" s="17" t="inlineStr">
        <is>
          <t>Não</t>
        </is>
      </c>
      <c r="E156" s="18" t="n">
        <v>45643</v>
      </c>
      <c r="F156" s="18" t="n">
        <v>45655</v>
      </c>
      <c r="G156" s="17" t="n">
        <v>12</v>
      </c>
      <c r="H156" s="17" t="inlineStr">
        <is>
          <t>Enterprise</t>
        </is>
      </c>
      <c r="I156" s="17" t="inlineStr">
        <is>
          <t>annual</t>
        </is>
      </c>
      <c r="J156" s="17" t="n">
        <v>15</v>
      </c>
      <c r="K156" s="17" t="n">
        <v>8</v>
      </c>
      <c r="L156" s="17" t="inlineStr">
        <is>
          <t>Não</t>
        </is>
      </c>
      <c r="M156" s="17" t="inlineStr">
        <is>
          <t>Sim</t>
        </is>
      </c>
      <c r="N156" s="17" t="inlineStr">
        <is>
          <t>Não</t>
        </is>
      </c>
    </row>
    <row r="157">
      <c r="A157" s="17" t="inlineStr">
        <is>
          <t>S-6ef81d</t>
        </is>
      </c>
      <c r="B157" s="17" t="inlineStr">
        <is>
          <t>A-0b0d6d</t>
        </is>
      </c>
      <c r="C157" s="17" t="inlineStr">
        <is>
          <t>Rápida</t>
        </is>
      </c>
      <c r="D157" s="17" t="inlineStr">
        <is>
          <t>Sim</t>
        </is>
      </c>
      <c r="E157" s="18" t="n">
        <v>45656</v>
      </c>
      <c r="F157" s="18" t="n">
        <v>45657</v>
      </c>
      <c r="G157" s="17" t="n">
        <v>1</v>
      </c>
      <c r="H157" s="17" t="inlineStr">
        <is>
          <t>Basic</t>
        </is>
      </c>
      <c r="I157" s="17" t="inlineStr">
        <is>
          <t>annual</t>
        </is>
      </c>
      <c r="J157" s="17" t="n">
        <v>25</v>
      </c>
      <c r="K157" s="17" t="n">
        <v>11</v>
      </c>
      <c r="L157" s="17" t="inlineStr">
        <is>
          <t>Não</t>
        </is>
      </c>
      <c r="M157" s="17" t="inlineStr">
        <is>
          <t>Sim</t>
        </is>
      </c>
      <c r="N157" s="17" t="inlineStr">
        <is>
          <t>Não</t>
        </is>
      </c>
    </row>
    <row r="158">
      <c r="A158" s="17" t="inlineStr">
        <is>
          <t>S-f0081e</t>
        </is>
      </c>
      <c r="B158" s="17" t="inlineStr">
        <is>
          <t>A-b7ef83</t>
        </is>
      </c>
      <c r="C158" s="17" t="inlineStr">
        <is>
          <t>Rápida</t>
        </is>
      </c>
      <c r="D158" s="17" t="inlineStr">
        <is>
          <t>Não</t>
        </is>
      </c>
      <c r="E158" s="18" t="n">
        <v>45632</v>
      </c>
      <c r="F158" s="18" t="n">
        <v>45636</v>
      </c>
      <c r="G158" s="17" t="n">
        <v>4</v>
      </c>
      <c r="H158" s="17" t="inlineStr">
        <is>
          <t>Enterprise</t>
        </is>
      </c>
      <c r="I158" s="17" t="inlineStr">
        <is>
          <t>monthly</t>
        </is>
      </c>
      <c r="J158" s="17" t="n">
        <v>45</v>
      </c>
      <c r="K158" s="17" t="n">
        <v>13</v>
      </c>
      <c r="L158" s="17" t="inlineStr">
        <is>
          <t>Não</t>
        </is>
      </c>
      <c r="M158" s="17" t="inlineStr">
        <is>
          <t>Não</t>
        </is>
      </c>
      <c r="N158" s="17" t="inlineStr">
        <is>
          <t>Não</t>
        </is>
      </c>
    </row>
    <row r="159">
      <c r="A159" s="17" t="inlineStr">
        <is>
          <t>S-a9bfe0</t>
        </is>
      </c>
      <c r="B159" s="17" t="inlineStr">
        <is>
          <t>A-4bfa33</t>
        </is>
      </c>
      <c r="C159" s="17" t="inlineStr">
        <is>
          <t>Rápida</t>
        </is>
      </c>
      <c r="D159" s="17" t="inlineStr">
        <is>
          <t>Sim</t>
        </is>
      </c>
      <c r="E159" s="18" t="n">
        <v>45638</v>
      </c>
      <c r="F159" s="18" t="n">
        <v>45655</v>
      </c>
      <c r="G159" s="17" t="n">
        <v>17</v>
      </c>
      <c r="H159" s="17" t="inlineStr">
        <is>
          <t>Pro</t>
        </is>
      </c>
      <c r="I159" s="17" t="inlineStr">
        <is>
          <t>monthly</t>
        </is>
      </c>
      <c r="J159" s="17" t="n">
        <v>9</v>
      </c>
      <c r="K159" s="17" t="n">
        <v>6</v>
      </c>
      <c r="L159" s="17" t="inlineStr">
        <is>
          <t>Não</t>
        </is>
      </c>
      <c r="M159" s="17" t="inlineStr">
        <is>
          <t>Sim</t>
        </is>
      </c>
      <c r="N159" s="17" t="inlineStr">
        <is>
          <t>Não</t>
        </is>
      </c>
    </row>
    <row r="160">
      <c r="A160" s="17" t="inlineStr">
        <is>
          <t>S-1f5faf</t>
        </is>
      </c>
      <c r="B160" s="17" t="inlineStr">
        <is>
          <t>A-34ea2f</t>
        </is>
      </c>
      <c r="C160" s="17" t="inlineStr">
        <is>
          <t>Lenta</t>
        </is>
      </c>
      <c r="D160" s="17" t="inlineStr">
        <is>
          <t>Não</t>
        </is>
      </c>
      <c r="E160" s="18" t="n">
        <v>45568</v>
      </c>
      <c r="F160" s="18" t="n">
        <v>45646</v>
      </c>
      <c r="G160" s="17" t="n">
        <v>78</v>
      </c>
      <c r="H160" s="17" t="inlineStr">
        <is>
          <t>Enterprise</t>
        </is>
      </c>
      <c r="I160" s="17" t="inlineStr">
        <is>
          <t>monthly</t>
        </is>
      </c>
      <c r="J160" s="17" t="n">
        <v>8</v>
      </c>
      <c r="K160" s="17" t="n">
        <v>9</v>
      </c>
      <c r="L160" s="17" t="inlineStr">
        <is>
          <t>Não</t>
        </is>
      </c>
      <c r="M160" s="17" t="inlineStr">
        <is>
          <t>Sim</t>
        </is>
      </c>
      <c r="N160" s="17" t="inlineStr">
        <is>
          <t>Não</t>
        </is>
      </c>
    </row>
    <row r="161">
      <c r="A161" s="17" t="inlineStr">
        <is>
          <t>S-1cf9b0</t>
        </is>
      </c>
      <c r="B161" s="17" t="inlineStr">
        <is>
          <t>A-922109</t>
        </is>
      </c>
      <c r="C161" s="17" t="inlineStr">
        <is>
          <t>Lenta</t>
        </is>
      </c>
      <c r="D161" s="17" t="inlineStr">
        <is>
          <t>Não</t>
        </is>
      </c>
      <c r="E161" s="18" t="n">
        <v>45488</v>
      </c>
      <c r="F161" s="18" t="n">
        <v>45653</v>
      </c>
      <c r="G161" s="17" t="n">
        <v>165</v>
      </c>
      <c r="H161" s="17" t="inlineStr">
        <is>
          <t>Pro</t>
        </is>
      </c>
      <c r="I161" s="17" t="inlineStr">
        <is>
          <t>monthly</t>
        </is>
      </c>
      <c r="J161" s="17" t="n">
        <v>9</v>
      </c>
      <c r="K161" s="17" t="n">
        <v>12</v>
      </c>
      <c r="L161" s="17" t="inlineStr">
        <is>
          <t>Não</t>
        </is>
      </c>
      <c r="M161" s="17" t="inlineStr">
        <is>
          <t>Não</t>
        </is>
      </c>
      <c r="N161" s="17" t="inlineStr">
        <is>
          <t>Não</t>
        </is>
      </c>
    </row>
    <row r="162">
      <c r="A162" s="17" t="inlineStr">
        <is>
          <t>S-3d8c2f</t>
        </is>
      </c>
      <c r="B162" s="17" t="inlineStr">
        <is>
          <t>A-51ec1b</t>
        </is>
      </c>
      <c r="C162" s="17" t="inlineStr">
        <is>
          <t>Lenta</t>
        </is>
      </c>
      <c r="D162" s="17" t="inlineStr">
        <is>
          <t>Não</t>
        </is>
      </c>
      <c r="E162" s="18" t="n">
        <v>45585</v>
      </c>
      <c r="F162" s="18" t="n">
        <v>45623</v>
      </c>
      <c r="G162" s="17" t="n">
        <v>38</v>
      </c>
      <c r="H162" s="17" t="inlineStr">
        <is>
          <t>Pro</t>
        </is>
      </c>
      <c r="I162" s="17" t="inlineStr">
        <is>
          <t>monthly</t>
        </is>
      </c>
      <c r="J162" s="17" t="n">
        <v>23</v>
      </c>
      <c r="K162" s="17" t="n">
        <v>4</v>
      </c>
      <c r="L162" s="17" t="inlineStr">
        <is>
          <t>Não</t>
        </is>
      </c>
      <c r="M162" s="17" t="inlineStr">
        <is>
          <t>Não</t>
        </is>
      </c>
      <c r="N162" s="17" t="inlineStr">
        <is>
          <t>Não</t>
        </is>
      </c>
    </row>
    <row r="163">
      <c r="A163" s="17" t="inlineStr">
        <is>
          <t>S-b51d34</t>
        </is>
      </c>
      <c r="B163" s="17" t="inlineStr">
        <is>
          <t>A-2d1036</t>
        </is>
      </c>
      <c r="C163" s="17" t="inlineStr">
        <is>
          <t>Lenta</t>
        </is>
      </c>
      <c r="D163" s="17" t="inlineStr">
        <is>
          <t>Não</t>
        </is>
      </c>
      <c r="E163" s="18" t="n">
        <v>45578</v>
      </c>
      <c r="F163" s="18" t="n">
        <v>45620</v>
      </c>
      <c r="G163" s="17" t="n">
        <v>42</v>
      </c>
      <c r="H163" s="17" t="inlineStr">
        <is>
          <t>Enterprise</t>
        </is>
      </c>
      <c r="I163" s="17" t="inlineStr">
        <is>
          <t>annual</t>
        </is>
      </c>
      <c r="J163" s="17" t="n">
        <v>69</v>
      </c>
      <c r="K163" s="17" t="n">
        <v>10</v>
      </c>
      <c r="L163" s="17" t="inlineStr">
        <is>
          <t>Não</t>
        </is>
      </c>
      <c r="M163" s="17" t="inlineStr">
        <is>
          <t>Sim</t>
        </is>
      </c>
      <c r="N163" s="17" t="inlineStr">
        <is>
          <t>Sim</t>
        </is>
      </c>
    </row>
    <row r="164">
      <c r="A164" s="17" t="inlineStr">
        <is>
          <t>S-32e881</t>
        </is>
      </c>
      <c r="B164" s="17" t="inlineStr">
        <is>
          <t>A-029f69</t>
        </is>
      </c>
      <c r="C164" s="17" t="inlineStr">
        <is>
          <t>Lenta</t>
        </is>
      </c>
      <c r="D164" s="17" t="inlineStr">
        <is>
          <t>Não</t>
        </is>
      </c>
      <c r="E164" s="18" t="n">
        <v>45575</v>
      </c>
      <c r="F164" s="18" t="n">
        <v>45612</v>
      </c>
      <c r="G164" s="17" t="n">
        <v>37</v>
      </c>
      <c r="H164" s="17" t="inlineStr">
        <is>
          <t>Pro</t>
        </is>
      </c>
      <c r="I164" s="17" t="inlineStr">
        <is>
          <t>monthly</t>
        </is>
      </c>
      <c r="J164" s="17" t="n">
        <v>3</v>
      </c>
      <c r="K164" s="17" t="n">
        <v>9</v>
      </c>
      <c r="L164" s="17" t="inlineStr">
        <is>
          <t>Não</t>
        </is>
      </c>
      <c r="M164" s="17" t="inlineStr">
        <is>
          <t>Sim</t>
        </is>
      </c>
      <c r="N164" s="17" t="inlineStr">
        <is>
          <t>Sim</t>
        </is>
      </c>
    </row>
    <row r="165">
      <c r="A165" s="17" t="inlineStr">
        <is>
          <t>S-c22c29</t>
        </is>
      </c>
      <c r="B165" s="17" t="inlineStr">
        <is>
          <t>A-692f18</t>
        </is>
      </c>
      <c r="C165" s="17" t="inlineStr">
        <is>
          <t>Rápida</t>
        </is>
      </c>
      <c r="D165" s="17" t="inlineStr">
        <is>
          <t>Não</t>
        </is>
      </c>
      <c r="E165" s="18" t="n">
        <v>45641</v>
      </c>
      <c r="F165" s="18" t="n">
        <v>45643</v>
      </c>
      <c r="G165" s="17" t="n">
        <v>2</v>
      </c>
      <c r="H165" s="17" t="inlineStr">
        <is>
          <t>Enterprise</t>
        </is>
      </c>
      <c r="I165" s="17" t="inlineStr">
        <is>
          <t>annual</t>
        </is>
      </c>
      <c r="J165" s="17" t="n">
        <v>28</v>
      </c>
      <c r="K165" s="17" t="n">
        <v>16</v>
      </c>
      <c r="L165" s="17" t="inlineStr">
        <is>
          <t>Não</t>
        </is>
      </c>
      <c r="M165" s="17" t="inlineStr">
        <is>
          <t>Sim</t>
        </is>
      </c>
      <c r="N165" s="17" t="inlineStr">
        <is>
          <t>Não</t>
        </is>
      </c>
    </row>
    <row r="166">
      <c r="A166" s="17" t="inlineStr">
        <is>
          <t>S-4695b8</t>
        </is>
      </c>
      <c r="B166" s="17" t="inlineStr">
        <is>
          <t>A-ad64c6</t>
        </is>
      </c>
      <c r="C166" s="17" t="inlineStr">
        <is>
          <t>Lenta</t>
        </is>
      </c>
      <c r="D166" s="17" t="inlineStr">
        <is>
          <t>Não</t>
        </is>
      </c>
      <c r="E166" s="18" t="n">
        <v>45519</v>
      </c>
      <c r="F166" s="18" t="n">
        <v>45607</v>
      </c>
      <c r="G166" s="17" t="n">
        <v>88</v>
      </c>
      <c r="H166" s="17" t="inlineStr">
        <is>
          <t>Pro</t>
        </is>
      </c>
      <c r="I166" s="17" t="inlineStr">
        <is>
          <t>annual</t>
        </is>
      </c>
      <c r="J166" s="17" t="n">
        <v>12</v>
      </c>
      <c r="K166" s="17" t="n">
        <v>4</v>
      </c>
      <c r="L166" s="17" t="inlineStr">
        <is>
          <t>Não</t>
        </is>
      </c>
      <c r="M166" s="17" t="inlineStr">
        <is>
          <t>Não</t>
        </is>
      </c>
      <c r="N166" s="17" t="inlineStr">
        <is>
          <t>Não</t>
        </is>
      </c>
    </row>
    <row r="167">
      <c r="A167" s="17" t="inlineStr">
        <is>
          <t>S-2fc028</t>
        </is>
      </c>
      <c r="B167" s="17" t="inlineStr">
        <is>
          <t>A-3b37d9</t>
        </is>
      </c>
      <c r="C167" s="17" t="inlineStr">
        <is>
          <t>Lenta</t>
        </is>
      </c>
      <c r="D167" s="17" t="inlineStr">
        <is>
          <t>Não</t>
        </is>
      </c>
      <c r="E167" s="18" t="n">
        <v>45243</v>
      </c>
      <c r="F167" s="18" t="n">
        <v>45623</v>
      </c>
      <c r="G167" s="17" t="n">
        <v>380</v>
      </c>
      <c r="H167" s="17" t="inlineStr">
        <is>
          <t>Enterprise</t>
        </is>
      </c>
      <c r="I167" s="17" t="inlineStr">
        <is>
          <t>annual</t>
        </is>
      </c>
      <c r="J167" s="17" t="n">
        <v>23</v>
      </c>
      <c r="K167" s="17" t="n">
        <v>6</v>
      </c>
      <c r="L167" s="17" t="inlineStr">
        <is>
          <t>Não</t>
        </is>
      </c>
      <c r="M167" s="17" t="inlineStr">
        <is>
          <t>Não</t>
        </is>
      </c>
      <c r="N167" s="17" t="inlineStr">
        <is>
          <t>Não</t>
        </is>
      </c>
    </row>
    <row r="168">
      <c r="A168" s="17" t="inlineStr">
        <is>
          <t>S-30fa6f</t>
        </is>
      </c>
      <c r="B168" s="17" t="inlineStr">
        <is>
          <t>A-e1b9cd</t>
        </is>
      </c>
      <c r="C168" s="17" t="inlineStr">
        <is>
          <t>Lenta</t>
        </is>
      </c>
      <c r="D168" s="17" t="inlineStr">
        <is>
          <t>Não</t>
        </is>
      </c>
      <c r="E168" s="18" t="n">
        <v>45006</v>
      </c>
      <c r="F168" s="18" t="n">
        <v>45630</v>
      </c>
      <c r="G168" s="17" t="n">
        <v>624</v>
      </c>
      <c r="H168" s="17" t="inlineStr">
        <is>
          <t>Pro</t>
        </is>
      </c>
      <c r="I168" s="17" t="inlineStr">
        <is>
          <t>monthly</t>
        </is>
      </c>
      <c r="J168" s="17" t="n">
        <v>40</v>
      </c>
      <c r="K168" s="17" t="n">
        <v>10</v>
      </c>
      <c r="L168" s="17" t="inlineStr">
        <is>
          <t>Não</t>
        </is>
      </c>
      <c r="M168" s="17" t="inlineStr">
        <is>
          <t>Sim</t>
        </is>
      </c>
      <c r="N168" s="17" t="inlineStr">
        <is>
          <t>Sim</t>
        </is>
      </c>
    </row>
    <row r="169">
      <c r="A169" s="17" t="inlineStr">
        <is>
          <t>S-79ab7e</t>
        </is>
      </c>
      <c r="B169" s="17" t="inlineStr">
        <is>
          <t>A-956988</t>
        </is>
      </c>
      <c r="C169" s="17" t="inlineStr">
        <is>
          <t>Rápida</t>
        </is>
      </c>
      <c r="D169" s="17" t="inlineStr">
        <is>
          <t>Sim</t>
        </is>
      </c>
      <c r="E169" s="18" t="n">
        <v>45639</v>
      </c>
      <c r="F169" s="18" t="n">
        <v>45648</v>
      </c>
      <c r="G169" s="17" t="n">
        <v>9</v>
      </c>
      <c r="H169" s="17" t="inlineStr">
        <is>
          <t>Enterprise</t>
        </is>
      </c>
      <c r="I169" s="17" t="inlineStr">
        <is>
          <t>monthly</t>
        </is>
      </c>
      <c r="J169" s="17" t="n">
        <v>72</v>
      </c>
      <c r="K169" s="17" t="n">
        <v>10</v>
      </c>
      <c r="L169" s="17" t="inlineStr">
        <is>
          <t>Não</t>
        </is>
      </c>
      <c r="M169" s="17" t="inlineStr">
        <is>
          <t>Sim</t>
        </is>
      </c>
      <c r="N169" s="17" t="inlineStr">
        <is>
          <t>Não</t>
        </is>
      </c>
    </row>
    <row r="170">
      <c r="A170" s="17" t="inlineStr">
        <is>
          <t>S-6f488b</t>
        </is>
      </c>
      <c r="B170" s="17" t="inlineStr">
        <is>
          <t>A-d27f50</t>
        </is>
      </c>
      <c r="C170" s="17" t="inlineStr">
        <is>
          <t>Rápida</t>
        </is>
      </c>
      <c r="D170" s="17" t="inlineStr">
        <is>
          <t>Não</t>
        </is>
      </c>
      <c r="E170" s="18" t="n">
        <v>45655</v>
      </c>
      <c r="F170" s="18" t="n">
        <v>45655</v>
      </c>
      <c r="G170" s="17" t="n">
        <v>0</v>
      </c>
      <c r="H170" s="17" t="inlineStr">
        <is>
          <t>Basic</t>
        </is>
      </c>
      <c r="I170" s="17" t="inlineStr">
        <is>
          <t>annual</t>
        </is>
      </c>
      <c r="J170" s="17" t="n">
        <v>44</v>
      </c>
      <c r="K170" s="17" t="n">
        <v>9</v>
      </c>
      <c r="L170" s="17" t="inlineStr">
        <is>
          <t>Não</t>
        </is>
      </c>
      <c r="M170" s="17" t="inlineStr">
        <is>
          <t>Não</t>
        </is>
      </c>
      <c r="N170" s="17" t="inlineStr">
        <is>
          <t>Não</t>
        </is>
      </c>
    </row>
    <row r="171">
      <c r="A171" s="17" t="inlineStr">
        <is>
          <t>S-d3d720</t>
        </is>
      </c>
      <c r="B171" s="17" t="inlineStr">
        <is>
          <t>A-b7724f</t>
        </is>
      </c>
      <c r="C171" s="17" t="inlineStr">
        <is>
          <t>Lenta</t>
        </is>
      </c>
      <c r="D171" s="17" t="inlineStr">
        <is>
          <t>Não</t>
        </is>
      </c>
      <c r="E171" s="18" t="n">
        <v>45463</v>
      </c>
      <c r="F171" s="18" t="n">
        <v>45656</v>
      </c>
      <c r="G171" s="17" t="n">
        <v>193</v>
      </c>
      <c r="H171" s="17" t="inlineStr">
        <is>
          <t>Basic</t>
        </is>
      </c>
      <c r="I171" s="17" t="inlineStr">
        <is>
          <t>monthly</t>
        </is>
      </c>
      <c r="J171" s="17" t="n">
        <v>11</v>
      </c>
      <c r="K171" s="17" t="n">
        <v>5</v>
      </c>
      <c r="L171" s="17" t="inlineStr">
        <is>
          <t>Não</t>
        </is>
      </c>
      <c r="M171" s="17" t="inlineStr">
        <is>
          <t>Sim</t>
        </is>
      </c>
      <c r="N171" s="17" t="inlineStr">
        <is>
          <t>Não</t>
        </is>
      </c>
    </row>
    <row r="172">
      <c r="A172" s="17" t="inlineStr">
        <is>
          <t>S-af2d97</t>
        </is>
      </c>
      <c r="B172" s="17" t="inlineStr">
        <is>
          <t>A-781cc0</t>
        </is>
      </c>
      <c r="C172" s="17" t="inlineStr">
        <is>
          <t>Rápida</t>
        </is>
      </c>
      <c r="D172" s="17" t="inlineStr">
        <is>
          <t>Não</t>
        </is>
      </c>
      <c r="E172" s="18" t="n">
        <v>45597</v>
      </c>
      <c r="F172" s="18" t="n">
        <v>45598</v>
      </c>
      <c r="G172" s="17" t="n">
        <v>1</v>
      </c>
      <c r="H172" s="17" t="inlineStr">
        <is>
          <t>Pro</t>
        </is>
      </c>
      <c r="I172" s="17" t="inlineStr">
        <is>
          <t>monthly</t>
        </is>
      </c>
      <c r="J172" s="17" t="n">
        <v>28</v>
      </c>
      <c r="K172" s="17" t="n">
        <v>12</v>
      </c>
      <c r="L172" s="17" t="inlineStr">
        <is>
          <t>Não</t>
        </is>
      </c>
      <c r="M172" s="17" t="inlineStr">
        <is>
          <t>Sim</t>
        </is>
      </c>
      <c r="N172" s="17" t="inlineStr">
        <is>
          <t>Não</t>
        </is>
      </c>
    </row>
    <row r="173">
      <c r="A173" s="17" t="inlineStr">
        <is>
          <t>S-09cb75</t>
        </is>
      </c>
      <c r="B173" s="17" t="inlineStr">
        <is>
          <t>A-c43359</t>
        </is>
      </c>
      <c r="C173" s="17" t="inlineStr">
        <is>
          <t>Lenta</t>
        </is>
      </c>
      <c r="D173" s="17" t="inlineStr">
        <is>
          <t>Sim</t>
        </is>
      </c>
      <c r="E173" s="18" t="n">
        <v>45625</v>
      </c>
      <c r="F173" s="18" t="n">
        <v>45656</v>
      </c>
      <c r="G173" s="17" t="n">
        <v>31</v>
      </c>
      <c r="H173" s="17" t="inlineStr">
        <is>
          <t>Basic</t>
        </is>
      </c>
      <c r="I173" s="17" t="inlineStr">
        <is>
          <t>annual</t>
        </is>
      </c>
      <c r="J173" s="17" t="n">
        <v>38</v>
      </c>
      <c r="K173" s="17" t="n">
        <v>6</v>
      </c>
      <c r="L173" s="17" t="inlineStr">
        <is>
          <t>Não</t>
        </is>
      </c>
      <c r="M173" s="17" t="inlineStr">
        <is>
          <t>Não</t>
        </is>
      </c>
      <c r="N173" s="17" t="inlineStr">
        <is>
          <t>Não</t>
        </is>
      </c>
    </row>
    <row r="174">
      <c r="A174" s="17" t="inlineStr">
        <is>
          <t>S-c2701b</t>
        </is>
      </c>
      <c r="B174" s="17" t="inlineStr">
        <is>
          <t>A-50bb9f</t>
        </is>
      </c>
      <c r="C174" s="17" t="inlineStr">
        <is>
          <t>Rápida</t>
        </is>
      </c>
      <c r="D174" s="17" t="inlineStr">
        <is>
          <t>Não</t>
        </is>
      </c>
      <c r="E174" s="18" t="n">
        <v>45650</v>
      </c>
      <c r="F174" s="18" t="n">
        <v>45650</v>
      </c>
      <c r="G174" s="17" t="n">
        <v>0</v>
      </c>
      <c r="H174" s="17" t="inlineStr">
        <is>
          <t>Pro</t>
        </is>
      </c>
      <c r="I174" s="17" t="inlineStr">
        <is>
          <t>monthly</t>
        </is>
      </c>
      <c r="J174" s="17" t="n">
        <v>36</v>
      </c>
      <c r="K174" s="17" t="n">
        <v>6</v>
      </c>
      <c r="L174" s="17" t="inlineStr">
        <is>
          <t>Não</t>
        </is>
      </c>
      <c r="M174" s="17" t="inlineStr">
        <is>
          <t>Sim</t>
        </is>
      </c>
      <c r="N174" s="17" t="inlineStr">
        <is>
          <t>Não</t>
        </is>
      </c>
    </row>
    <row r="175">
      <c r="A175" s="17" t="inlineStr">
        <is>
          <t>S-ede33a</t>
        </is>
      </c>
      <c r="B175" s="17" t="inlineStr">
        <is>
          <t>A-202b67</t>
        </is>
      </c>
      <c r="C175" s="17" t="inlineStr">
        <is>
          <t>Lenta</t>
        </is>
      </c>
      <c r="D175" s="17" t="inlineStr">
        <is>
          <t>Não</t>
        </is>
      </c>
      <c r="E175" s="18" t="n">
        <v>45480</v>
      </c>
      <c r="F175" s="18" t="n">
        <v>45649</v>
      </c>
      <c r="G175" s="17" t="n">
        <v>169</v>
      </c>
      <c r="H175" s="17" t="inlineStr">
        <is>
          <t>Enterprise</t>
        </is>
      </c>
      <c r="I175" s="17" t="inlineStr">
        <is>
          <t>annual</t>
        </is>
      </c>
      <c r="J175" s="17" t="n">
        <v>11</v>
      </c>
      <c r="K175" s="17" t="n">
        <v>8</v>
      </c>
      <c r="L175" s="17" t="inlineStr">
        <is>
          <t>Não</t>
        </is>
      </c>
      <c r="M175" s="17" t="inlineStr">
        <is>
          <t>Não</t>
        </is>
      </c>
      <c r="N175" s="17" t="inlineStr">
        <is>
          <t>Não</t>
        </is>
      </c>
    </row>
    <row r="176">
      <c r="A176" s="17" t="inlineStr">
        <is>
          <t>S-79bb4c</t>
        </is>
      </c>
      <c r="B176" s="17" t="inlineStr">
        <is>
          <t>A-f45426</t>
        </is>
      </c>
      <c r="C176" s="17" t="inlineStr">
        <is>
          <t>Lenta</t>
        </is>
      </c>
      <c r="D176" s="17" t="inlineStr">
        <is>
          <t>Não</t>
        </is>
      </c>
      <c r="E176" s="18" t="n">
        <v>45556</v>
      </c>
      <c r="F176" s="18" t="n">
        <v>45599</v>
      </c>
      <c r="G176" s="17" t="n">
        <v>43</v>
      </c>
      <c r="H176" s="17" t="inlineStr">
        <is>
          <t>Pro</t>
        </is>
      </c>
      <c r="I176" s="17" t="inlineStr">
        <is>
          <t>annual</t>
        </is>
      </c>
      <c r="J176" s="17" t="n">
        <v>11</v>
      </c>
      <c r="K176" s="17" t="n">
        <v>5</v>
      </c>
      <c r="L176" s="17" t="inlineStr">
        <is>
          <t>Não</t>
        </is>
      </c>
      <c r="M176" s="17" t="inlineStr">
        <is>
          <t>Não</t>
        </is>
      </c>
      <c r="N176" s="17" t="inlineStr">
        <is>
          <t>Não</t>
        </is>
      </c>
    </row>
    <row r="177">
      <c r="A177" s="17" t="inlineStr">
        <is>
          <t>S-c41762</t>
        </is>
      </c>
      <c r="B177" s="17" t="inlineStr">
        <is>
          <t>A-9badbd</t>
        </is>
      </c>
      <c r="C177" s="17" t="inlineStr">
        <is>
          <t>Rápida</t>
        </is>
      </c>
      <c r="D177" s="17" t="inlineStr">
        <is>
          <t>Não</t>
        </is>
      </c>
      <c r="E177" s="18" t="n">
        <v>45647</v>
      </c>
      <c r="F177" s="18" t="n">
        <v>45656</v>
      </c>
      <c r="G177" s="17" t="n">
        <v>9</v>
      </c>
      <c r="H177" s="17" t="inlineStr">
        <is>
          <t>Enterprise</t>
        </is>
      </c>
      <c r="I177" s="17" t="inlineStr">
        <is>
          <t>monthly</t>
        </is>
      </c>
      <c r="J177" s="17" t="n">
        <v>59</v>
      </c>
      <c r="K177" s="17" t="n">
        <v>11</v>
      </c>
      <c r="L177" s="17" t="inlineStr">
        <is>
          <t>Não</t>
        </is>
      </c>
      <c r="M177" s="17" t="inlineStr">
        <is>
          <t>Não</t>
        </is>
      </c>
      <c r="N177" s="17" t="inlineStr">
        <is>
          <t>Não</t>
        </is>
      </c>
    </row>
    <row r="178">
      <c r="A178" s="17" t="inlineStr">
        <is>
          <t>S-0c5771</t>
        </is>
      </c>
      <c r="B178" s="17" t="inlineStr">
        <is>
          <t>A-798a3f</t>
        </is>
      </c>
      <c r="C178" s="17" t="inlineStr">
        <is>
          <t>Lenta</t>
        </is>
      </c>
      <c r="D178" s="17" t="inlineStr">
        <is>
          <t>Não</t>
        </is>
      </c>
      <c r="E178" s="18" t="n">
        <v>45346</v>
      </c>
      <c r="F178" s="18" t="n">
        <v>45606</v>
      </c>
      <c r="G178" s="17" t="n">
        <v>260</v>
      </c>
      <c r="H178" s="17" t="inlineStr">
        <is>
          <t>Enterprise</t>
        </is>
      </c>
      <c r="I178" s="17" t="inlineStr">
        <is>
          <t>annual</t>
        </is>
      </c>
      <c r="J178" s="17" t="n">
        <v>12</v>
      </c>
      <c r="K178" s="17" t="n">
        <v>7</v>
      </c>
      <c r="L178" s="17" t="inlineStr">
        <is>
          <t>Não</t>
        </is>
      </c>
      <c r="M178" s="17" t="inlineStr">
        <is>
          <t>Não</t>
        </is>
      </c>
      <c r="N178" s="17" t="inlineStr">
        <is>
          <t>Não</t>
        </is>
      </c>
    </row>
    <row r="179">
      <c r="A179" s="17" t="inlineStr">
        <is>
          <t>S-44046d</t>
        </is>
      </c>
      <c r="B179" s="17" t="inlineStr">
        <is>
          <t>A-5a184f</t>
        </is>
      </c>
      <c r="C179" s="17" t="inlineStr">
        <is>
          <t>Lenta</t>
        </is>
      </c>
      <c r="D179" s="17" t="inlineStr">
        <is>
          <t>Não</t>
        </is>
      </c>
      <c r="E179" s="18" t="n">
        <v>45602</v>
      </c>
      <c r="F179" s="18" t="n">
        <v>45639</v>
      </c>
      <c r="G179" s="17" t="n">
        <v>37</v>
      </c>
      <c r="H179" s="17" t="inlineStr">
        <is>
          <t>Basic</t>
        </is>
      </c>
      <c r="I179" s="17" t="inlineStr">
        <is>
          <t>annual</t>
        </is>
      </c>
      <c r="J179" s="17" t="n">
        <v>36</v>
      </c>
      <c r="K179" s="17" t="n">
        <v>9</v>
      </c>
      <c r="L179" s="17" t="inlineStr">
        <is>
          <t>Não</t>
        </is>
      </c>
      <c r="M179" s="17" t="inlineStr">
        <is>
          <t>Não</t>
        </is>
      </c>
      <c r="N179" s="17" t="inlineStr">
        <is>
          <t>Não</t>
        </is>
      </c>
    </row>
    <row r="180">
      <c r="A180" s="17" t="inlineStr">
        <is>
          <t>S-95a570</t>
        </is>
      </c>
      <c r="B180" s="17" t="inlineStr">
        <is>
          <t>A-56962b</t>
        </is>
      </c>
      <c r="C180" s="17" t="inlineStr">
        <is>
          <t>Lenta</t>
        </is>
      </c>
      <c r="D180" s="17" t="inlineStr">
        <is>
          <t>Não</t>
        </is>
      </c>
      <c r="E180" s="18" t="n">
        <v>45616</v>
      </c>
      <c r="F180" s="18" t="n">
        <v>45652</v>
      </c>
      <c r="G180" s="17" t="n">
        <v>36</v>
      </c>
      <c r="H180" s="17" t="inlineStr">
        <is>
          <t>Pro</t>
        </is>
      </c>
      <c r="I180" s="17" t="inlineStr">
        <is>
          <t>monthly</t>
        </is>
      </c>
      <c r="J180" s="17" t="n">
        <v>163</v>
      </c>
      <c r="K180" s="17" t="n">
        <v>6</v>
      </c>
      <c r="L180" s="17" t="inlineStr">
        <is>
          <t>Não</t>
        </is>
      </c>
      <c r="M180" s="17" t="inlineStr">
        <is>
          <t>Não</t>
        </is>
      </c>
      <c r="N180" s="17" t="inlineStr">
        <is>
          <t>Não</t>
        </is>
      </c>
    </row>
    <row r="181">
      <c r="A181" s="17" t="inlineStr">
        <is>
          <t>S-e1e2bf</t>
        </is>
      </c>
      <c r="B181" s="17" t="inlineStr">
        <is>
          <t>A-7da956</t>
        </is>
      </c>
      <c r="C181" s="17" t="inlineStr">
        <is>
          <t>Lenta</t>
        </is>
      </c>
      <c r="D181" s="17" t="inlineStr">
        <is>
          <t>Não</t>
        </is>
      </c>
      <c r="E181" s="18" t="n">
        <v>45559</v>
      </c>
      <c r="F181" s="18" t="n">
        <v>45600</v>
      </c>
      <c r="G181" s="17" t="n">
        <v>41</v>
      </c>
      <c r="H181" s="17" t="inlineStr">
        <is>
          <t>Basic</t>
        </is>
      </c>
      <c r="I181" s="17" t="inlineStr">
        <is>
          <t>annual</t>
        </is>
      </c>
      <c r="J181" s="17" t="n">
        <v>13</v>
      </c>
      <c r="K181" s="17" t="n">
        <v>9</v>
      </c>
      <c r="L181" s="17" t="inlineStr">
        <is>
          <t>Não</t>
        </is>
      </c>
      <c r="M181" s="17" t="inlineStr">
        <is>
          <t>Sim</t>
        </is>
      </c>
      <c r="N181" s="17" t="inlineStr">
        <is>
          <t>Sim</t>
        </is>
      </c>
    </row>
    <row r="182">
      <c r="A182" s="17" t="inlineStr">
        <is>
          <t>S-4690b3</t>
        </is>
      </c>
      <c r="B182" s="17" t="inlineStr">
        <is>
          <t>A-068fc6</t>
        </is>
      </c>
      <c r="C182" s="17" t="inlineStr">
        <is>
          <t>Rápida</t>
        </is>
      </c>
      <c r="D182" s="17" t="inlineStr">
        <is>
          <t>Não</t>
        </is>
      </c>
      <c r="E182" s="18" t="n">
        <v>45642</v>
      </c>
      <c r="F182" s="18" t="n">
        <v>45651</v>
      </c>
      <c r="G182" s="17" t="n">
        <v>9</v>
      </c>
      <c r="H182" s="17" t="inlineStr">
        <is>
          <t>Enterprise</t>
        </is>
      </c>
      <c r="I182" s="17" t="inlineStr">
        <is>
          <t>monthly</t>
        </is>
      </c>
      <c r="J182" s="17" t="n">
        <v>35</v>
      </c>
      <c r="K182" s="17" t="n">
        <v>9</v>
      </c>
      <c r="L182" s="17" t="inlineStr">
        <is>
          <t>Não</t>
        </is>
      </c>
      <c r="M182" s="17" t="inlineStr">
        <is>
          <t>Não</t>
        </is>
      </c>
      <c r="N182" s="17" t="inlineStr">
        <is>
          <t>Não</t>
        </is>
      </c>
    </row>
    <row r="183">
      <c r="A183" s="17" t="inlineStr">
        <is>
          <t>S-ef7534</t>
        </is>
      </c>
      <c r="B183" s="17" t="inlineStr">
        <is>
          <t>A-ffdfd5</t>
        </is>
      </c>
      <c r="C183" s="17" t="inlineStr">
        <is>
          <t>Rápida</t>
        </is>
      </c>
      <c r="D183" s="17" t="inlineStr">
        <is>
          <t>Não</t>
        </is>
      </c>
      <c r="E183" s="18" t="n">
        <v>45646</v>
      </c>
      <c r="F183" s="18" t="n">
        <v>45657</v>
      </c>
      <c r="G183" s="17" t="n">
        <v>11</v>
      </c>
      <c r="H183" s="17" t="inlineStr">
        <is>
          <t>Pro</t>
        </is>
      </c>
      <c r="I183" s="17" t="inlineStr">
        <is>
          <t>monthly</t>
        </is>
      </c>
      <c r="J183" s="17" t="n">
        <v>3</v>
      </c>
      <c r="K183" s="17" t="n">
        <v>9</v>
      </c>
      <c r="L183" s="17" t="inlineStr">
        <is>
          <t>Não</t>
        </is>
      </c>
      <c r="M183" s="17" t="inlineStr">
        <is>
          <t>Não</t>
        </is>
      </c>
      <c r="N183" s="17" t="inlineStr">
        <is>
          <t>Não</t>
        </is>
      </c>
    </row>
    <row r="184">
      <c r="A184" s="17" t="inlineStr">
        <is>
          <t>S-14f39f</t>
        </is>
      </c>
      <c r="B184" s="17" t="inlineStr">
        <is>
          <t>A-9affe6</t>
        </is>
      </c>
      <c r="C184" s="17" t="inlineStr">
        <is>
          <t>Lenta</t>
        </is>
      </c>
      <c r="D184" s="17" t="inlineStr">
        <is>
          <t>Não</t>
        </is>
      </c>
      <c r="E184" s="18" t="n">
        <v>45465</v>
      </c>
      <c r="F184" s="18" t="n">
        <v>45636</v>
      </c>
      <c r="G184" s="17" t="n">
        <v>171</v>
      </c>
      <c r="H184" s="17" t="inlineStr">
        <is>
          <t>Basic</t>
        </is>
      </c>
      <c r="I184" s="17" t="inlineStr">
        <is>
          <t>monthly</t>
        </is>
      </c>
      <c r="J184" s="17" t="n">
        <v>19</v>
      </c>
      <c r="K184" s="17" t="n">
        <v>10</v>
      </c>
      <c r="L184" s="17" t="inlineStr">
        <is>
          <t>Não</t>
        </is>
      </c>
      <c r="M184" s="17" t="inlineStr">
        <is>
          <t>Não</t>
        </is>
      </c>
      <c r="N184" s="17" t="inlineStr">
        <is>
          <t>Não</t>
        </is>
      </c>
    </row>
    <row r="185">
      <c r="A185" s="17" t="inlineStr">
        <is>
          <t>S-00837c</t>
        </is>
      </c>
      <c r="B185" s="17" t="inlineStr">
        <is>
          <t>A-089363</t>
        </is>
      </c>
      <c r="C185" s="17" t="inlineStr">
        <is>
          <t>Rápida</t>
        </is>
      </c>
      <c r="D185" s="17" t="inlineStr">
        <is>
          <t>Não</t>
        </is>
      </c>
      <c r="E185" s="18" t="n">
        <v>45611</v>
      </c>
      <c r="F185" s="18" t="n">
        <v>45623</v>
      </c>
      <c r="G185" s="17" t="n">
        <v>12</v>
      </c>
      <c r="H185" s="17" t="inlineStr">
        <is>
          <t>Enterprise</t>
        </is>
      </c>
      <c r="I185" s="17" t="inlineStr">
        <is>
          <t>annual</t>
        </is>
      </c>
      <c r="J185" s="17" t="n">
        <v>43</v>
      </c>
      <c r="K185" s="17" t="n">
        <v>12</v>
      </c>
      <c r="L185" s="17" t="inlineStr">
        <is>
          <t>Não</t>
        </is>
      </c>
      <c r="M185" s="17" t="inlineStr">
        <is>
          <t>Sim</t>
        </is>
      </c>
      <c r="N185" s="17" t="inlineStr">
        <is>
          <t>Não</t>
        </is>
      </c>
    </row>
    <row r="186">
      <c r="A186" s="17" t="inlineStr">
        <is>
          <t>S-da0b9b</t>
        </is>
      </c>
      <c r="B186" s="17" t="inlineStr">
        <is>
          <t>A-3a7284</t>
        </is>
      </c>
      <c r="C186" s="17" t="inlineStr">
        <is>
          <t>Rápida</t>
        </is>
      </c>
      <c r="D186" s="17" t="inlineStr">
        <is>
          <t>Não</t>
        </is>
      </c>
      <c r="E186" s="18" t="n">
        <v>45647</v>
      </c>
      <c r="F186" s="18" t="n">
        <v>45649</v>
      </c>
      <c r="G186" s="17" t="n">
        <v>2</v>
      </c>
      <c r="H186" s="17" t="inlineStr">
        <is>
          <t>Pro</t>
        </is>
      </c>
      <c r="I186" s="17" t="inlineStr">
        <is>
          <t>annual</t>
        </is>
      </c>
      <c r="J186" s="17" t="n">
        <v>33</v>
      </c>
      <c r="K186" s="17" t="n">
        <v>8</v>
      </c>
      <c r="L186" s="17" t="inlineStr">
        <is>
          <t>Não</t>
        </is>
      </c>
      <c r="M186" s="17" t="inlineStr">
        <is>
          <t>Sim</t>
        </is>
      </c>
      <c r="N186" s="17" t="inlineStr">
        <is>
          <t>Não</t>
        </is>
      </c>
    </row>
    <row r="187">
      <c r="A187" s="17" t="inlineStr">
        <is>
          <t>S-3e0991</t>
        </is>
      </c>
      <c r="B187" s="17" t="inlineStr">
        <is>
          <t>A-9174e0</t>
        </is>
      </c>
      <c r="C187" s="17" t="inlineStr">
        <is>
          <t>Rápida</t>
        </is>
      </c>
      <c r="D187" s="17" t="inlineStr">
        <is>
          <t>Não</t>
        </is>
      </c>
      <c r="E187" s="18" t="n">
        <v>45633</v>
      </c>
      <c r="F187" s="18" t="n">
        <v>45640</v>
      </c>
      <c r="G187" s="17" t="n">
        <v>7</v>
      </c>
      <c r="H187" s="17" t="inlineStr">
        <is>
          <t>Enterprise</t>
        </is>
      </c>
      <c r="I187" s="17" t="inlineStr">
        <is>
          <t>monthly</t>
        </is>
      </c>
      <c r="J187" s="17" t="n">
        <v>37</v>
      </c>
      <c r="K187" s="17" t="n">
        <v>5</v>
      </c>
      <c r="L187" s="17" t="inlineStr">
        <is>
          <t>Não</t>
        </is>
      </c>
      <c r="M187" s="17" t="inlineStr">
        <is>
          <t>Sim</t>
        </is>
      </c>
      <c r="N187" s="17" t="inlineStr">
        <is>
          <t>Sim</t>
        </is>
      </c>
    </row>
    <row r="188">
      <c r="A188" s="17" t="inlineStr">
        <is>
          <t>S-9e450b</t>
        </is>
      </c>
      <c r="B188" s="17" t="inlineStr">
        <is>
          <t>A-89ee83</t>
        </is>
      </c>
      <c r="C188" s="17" t="inlineStr">
        <is>
          <t>Rápida</t>
        </is>
      </c>
      <c r="D188" s="17" t="inlineStr">
        <is>
          <t>Não</t>
        </is>
      </c>
      <c r="E188" s="18" t="n">
        <v>45647</v>
      </c>
      <c r="F188" s="18" t="n">
        <v>45657</v>
      </c>
      <c r="G188" s="17" t="n">
        <v>10</v>
      </c>
      <c r="H188" s="17" t="inlineStr">
        <is>
          <t>Enterprise</t>
        </is>
      </c>
      <c r="I188" s="17" t="inlineStr">
        <is>
          <t>monthly</t>
        </is>
      </c>
      <c r="J188" s="17" t="n">
        <v>23</v>
      </c>
      <c r="K188" s="17" t="n">
        <v>9</v>
      </c>
      <c r="L188" s="17" t="inlineStr">
        <is>
          <t>Não</t>
        </is>
      </c>
      <c r="M188" s="17" t="inlineStr">
        <is>
          <t>Sim</t>
        </is>
      </c>
      <c r="N188" s="17" t="inlineStr">
        <is>
          <t>Não</t>
        </is>
      </c>
    </row>
    <row r="189">
      <c r="A189" s="17" t="inlineStr">
        <is>
          <t>S-90432a</t>
        </is>
      </c>
      <c r="B189" s="17" t="inlineStr">
        <is>
          <t>A-fe79a5</t>
        </is>
      </c>
      <c r="C189" s="17" t="inlineStr">
        <is>
          <t>Rápida</t>
        </is>
      </c>
      <c r="D189" s="17" t="inlineStr">
        <is>
          <t>Não</t>
        </is>
      </c>
      <c r="E189" s="18" t="n">
        <v>45630</v>
      </c>
      <c r="F189" s="18" t="n">
        <v>45650</v>
      </c>
      <c r="G189" s="17" t="n">
        <v>20</v>
      </c>
      <c r="H189" s="17" t="inlineStr">
        <is>
          <t>Enterprise</t>
        </is>
      </c>
      <c r="I189" s="17" t="inlineStr">
        <is>
          <t>annual</t>
        </is>
      </c>
      <c r="J189" s="17" t="n">
        <v>9</v>
      </c>
      <c r="K189" s="17" t="n">
        <v>7</v>
      </c>
      <c r="L189" s="17" t="inlineStr">
        <is>
          <t>Não</t>
        </is>
      </c>
      <c r="M189" s="17" t="inlineStr">
        <is>
          <t>Sim</t>
        </is>
      </c>
      <c r="N189" s="17" t="inlineStr">
        <is>
          <t>Sim</t>
        </is>
      </c>
    </row>
    <row r="190">
      <c r="A190" s="17" t="inlineStr">
        <is>
          <t>S-e04d93</t>
        </is>
      </c>
      <c r="B190" s="17" t="inlineStr">
        <is>
          <t>A-5a215a</t>
        </is>
      </c>
      <c r="C190" s="17" t="inlineStr">
        <is>
          <t>Lenta</t>
        </is>
      </c>
      <c r="D190" s="17" t="inlineStr">
        <is>
          <t>Não</t>
        </is>
      </c>
      <c r="E190" s="18" t="n">
        <v>45439</v>
      </c>
      <c r="F190" s="18" t="n">
        <v>45656</v>
      </c>
      <c r="G190" s="17" t="n">
        <v>217</v>
      </c>
      <c r="H190" s="17" t="inlineStr">
        <is>
          <t>Enterprise</t>
        </is>
      </c>
      <c r="I190" s="17" t="inlineStr">
        <is>
          <t>monthly</t>
        </is>
      </c>
      <c r="J190" s="17" t="n">
        <v>87</v>
      </c>
      <c r="K190" s="17" t="n">
        <v>12</v>
      </c>
      <c r="L190" s="17" t="inlineStr">
        <is>
          <t>Não</t>
        </is>
      </c>
      <c r="M190" s="17" t="inlineStr">
        <is>
          <t>Não</t>
        </is>
      </c>
      <c r="N190" s="17" t="inlineStr">
        <is>
          <t>Não</t>
        </is>
      </c>
    </row>
    <row r="191">
      <c r="A191" s="17" t="inlineStr">
        <is>
          <t>S-703faf</t>
        </is>
      </c>
      <c r="B191" s="17" t="inlineStr">
        <is>
          <t>A-b7724f</t>
        </is>
      </c>
      <c r="C191" s="17" t="inlineStr">
        <is>
          <t>Lenta</t>
        </is>
      </c>
      <c r="D191" s="17" t="inlineStr">
        <is>
          <t>Não</t>
        </is>
      </c>
      <c r="E191" s="18" t="n">
        <v>45555</v>
      </c>
      <c r="F191" s="18" t="n">
        <v>45615</v>
      </c>
      <c r="G191" s="17" t="n">
        <v>60</v>
      </c>
      <c r="H191" s="17" t="inlineStr">
        <is>
          <t>Basic</t>
        </is>
      </c>
      <c r="I191" s="17" t="inlineStr">
        <is>
          <t>monthly</t>
        </is>
      </c>
      <c r="J191" s="17" t="n">
        <v>10</v>
      </c>
      <c r="K191" s="17" t="n">
        <v>4</v>
      </c>
      <c r="L191" s="17" t="inlineStr">
        <is>
          <t>Não</t>
        </is>
      </c>
      <c r="M191" s="17" t="inlineStr">
        <is>
          <t>Não</t>
        </is>
      </c>
      <c r="N191" s="17" t="inlineStr">
        <is>
          <t>Não</t>
        </is>
      </c>
    </row>
    <row r="192">
      <c r="A192" s="17" t="inlineStr">
        <is>
          <t>S-326691</t>
        </is>
      </c>
      <c r="B192" s="17" t="inlineStr">
        <is>
          <t>A-e40f45</t>
        </is>
      </c>
      <c r="C192" s="17" t="inlineStr">
        <is>
          <t>Rápida</t>
        </is>
      </c>
      <c r="D192" s="17" t="inlineStr">
        <is>
          <t>Não</t>
        </is>
      </c>
      <c r="E192" s="18" t="n">
        <v>45620</v>
      </c>
      <c r="F192" s="18" t="n">
        <v>45648</v>
      </c>
      <c r="G192" s="17" t="n">
        <v>28</v>
      </c>
      <c r="H192" s="17" t="inlineStr">
        <is>
          <t>Basic</t>
        </is>
      </c>
      <c r="I192" s="17" t="inlineStr">
        <is>
          <t>monthly</t>
        </is>
      </c>
      <c r="J192" s="17" t="n">
        <v>21</v>
      </c>
      <c r="K192" s="17" t="n">
        <v>6</v>
      </c>
      <c r="L192" s="17" t="inlineStr">
        <is>
          <t>Não</t>
        </is>
      </c>
      <c r="M192" s="17" t="inlineStr">
        <is>
          <t>Não</t>
        </is>
      </c>
      <c r="N192" s="17" t="inlineStr">
        <is>
          <t>Não</t>
        </is>
      </c>
    </row>
    <row r="193">
      <c r="A193" s="17" t="inlineStr">
        <is>
          <t>S-bdf7c2</t>
        </is>
      </c>
      <c r="B193" s="17" t="inlineStr">
        <is>
          <t>A-c42f1f</t>
        </is>
      </c>
      <c r="C193" s="17" t="inlineStr">
        <is>
          <t>Lenta</t>
        </is>
      </c>
      <c r="D193" s="17" t="inlineStr">
        <is>
          <t>Não</t>
        </is>
      </c>
      <c r="E193" s="18" t="n">
        <v>45591</v>
      </c>
      <c r="F193" s="18" t="n">
        <v>45650</v>
      </c>
      <c r="G193" s="17" t="n">
        <v>59</v>
      </c>
      <c r="H193" s="17" t="inlineStr">
        <is>
          <t>Pro</t>
        </is>
      </c>
      <c r="I193" s="17" t="inlineStr">
        <is>
          <t>annual</t>
        </is>
      </c>
      <c r="J193" s="17" t="n">
        <v>11</v>
      </c>
      <c r="K193" s="17" t="n">
        <v>6</v>
      </c>
      <c r="L193" s="17" t="inlineStr">
        <is>
          <t>Não</t>
        </is>
      </c>
      <c r="M193" s="17" t="inlineStr">
        <is>
          <t>Sim</t>
        </is>
      </c>
      <c r="N193" s="17" t="inlineStr">
        <is>
          <t>Não</t>
        </is>
      </c>
    </row>
    <row r="194">
      <c r="A194" s="17" t="inlineStr">
        <is>
          <t>S-c25d2f</t>
        </is>
      </c>
      <c r="B194" s="17" t="inlineStr">
        <is>
          <t>A-fabe19</t>
        </is>
      </c>
      <c r="C194" s="17" t="inlineStr">
        <is>
          <t>Rápida</t>
        </is>
      </c>
      <c r="D194" s="17" t="inlineStr">
        <is>
          <t>Não</t>
        </is>
      </c>
      <c r="E194" s="18" t="n">
        <v>45638</v>
      </c>
      <c r="F194" s="18" t="n">
        <v>45653</v>
      </c>
      <c r="G194" s="17" t="n">
        <v>15</v>
      </c>
      <c r="H194" s="17" t="inlineStr">
        <is>
          <t>Enterprise</t>
        </is>
      </c>
      <c r="I194" s="17" t="inlineStr">
        <is>
          <t>annual</t>
        </is>
      </c>
      <c r="J194" s="17" t="n">
        <v>32</v>
      </c>
      <c r="K194" s="17" t="n">
        <v>6</v>
      </c>
      <c r="L194" s="17" t="inlineStr">
        <is>
          <t>Não</t>
        </is>
      </c>
      <c r="M194" s="17" t="inlineStr">
        <is>
          <t>Sim</t>
        </is>
      </c>
      <c r="N194" s="17" t="inlineStr">
        <is>
          <t>Não</t>
        </is>
      </c>
    </row>
    <row r="195">
      <c r="A195" s="17" t="inlineStr">
        <is>
          <t>S-62fa42</t>
        </is>
      </c>
      <c r="B195" s="17" t="inlineStr">
        <is>
          <t>A-bb1486</t>
        </is>
      </c>
      <c r="C195" s="17" t="inlineStr">
        <is>
          <t>Rápida</t>
        </is>
      </c>
      <c r="D195" s="17" t="inlineStr">
        <is>
          <t>Sim</t>
        </is>
      </c>
      <c r="E195" s="18" t="n">
        <v>45632</v>
      </c>
      <c r="F195" s="18" t="n">
        <v>45645</v>
      </c>
      <c r="G195" s="17" t="n">
        <v>13</v>
      </c>
      <c r="H195" s="17" t="inlineStr">
        <is>
          <t>Basic</t>
        </is>
      </c>
      <c r="I195" s="17" t="inlineStr">
        <is>
          <t>annual</t>
        </is>
      </c>
      <c r="J195" s="17" t="n">
        <v>41</v>
      </c>
      <c r="K195" s="17" t="n">
        <v>6</v>
      </c>
      <c r="L195" s="17" t="inlineStr">
        <is>
          <t>Não</t>
        </is>
      </c>
      <c r="M195" s="17" t="inlineStr">
        <is>
          <t>Sim</t>
        </is>
      </c>
      <c r="N195" s="17" t="inlineStr">
        <is>
          <t>Sim</t>
        </is>
      </c>
    </row>
    <row r="196">
      <c r="A196" s="17" t="inlineStr">
        <is>
          <t>S-7c2997</t>
        </is>
      </c>
      <c r="B196" s="17" t="inlineStr">
        <is>
          <t>A-c1e51e</t>
        </is>
      </c>
      <c r="C196" s="17" t="inlineStr">
        <is>
          <t>Rápida</t>
        </is>
      </c>
      <c r="D196" s="17" t="inlineStr">
        <is>
          <t>Não</t>
        </is>
      </c>
      <c r="E196" s="18" t="n">
        <v>45647</v>
      </c>
      <c r="F196" s="18" t="n">
        <v>45657</v>
      </c>
      <c r="G196" s="17" t="n">
        <v>10</v>
      </c>
      <c r="H196" s="17" t="inlineStr">
        <is>
          <t>Pro</t>
        </is>
      </c>
      <c r="I196" s="17" t="inlineStr">
        <is>
          <t>annual</t>
        </is>
      </c>
      <c r="J196" s="17" t="n">
        <v>32</v>
      </c>
      <c r="K196" s="17" t="n">
        <v>7</v>
      </c>
      <c r="L196" s="17" t="inlineStr">
        <is>
          <t>Não</t>
        </is>
      </c>
      <c r="M196" s="17" t="inlineStr">
        <is>
          <t>Sim</t>
        </is>
      </c>
      <c r="N196" s="17" t="inlineStr">
        <is>
          <t>Não</t>
        </is>
      </c>
    </row>
    <row r="197">
      <c r="A197" s="17" t="inlineStr">
        <is>
          <t>S-f6edd4</t>
        </is>
      </c>
      <c r="B197" s="17" t="inlineStr">
        <is>
          <t>A-5a92e7</t>
        </is>
      </c>
      <c r="C197" s="17" t="inlineStr">
        <is>
          <t>Rápida</t>
        </is>
      </c>
      <c r="D197" s="17" t="inlineStr">
        <is>
          <t>Não</t>
        </is>
      </c>
      <c r="E197" s="18" t="n">
        <v>45630</v>
      </c>
      <c r="F197" s="18" t="n">
        <v>45641</v>
      </c>
      <c r="G197" s="17" t="n">
        <v>11</v>
      </c>
      <c r="H197" s="17" t="inlineStr">
        <is>
          <t>Basic</t>
        </is>
      </c>
      <c r="I197" s="17" t="inlineStr">
        <is>
          <t>annual</t>
        </is>
      </c>
      <c r="J197" s="17" t="n">
        <v>11</v>
      </c>
      <c r="K197" s="17" t="n">
        <v>16</v>
      </c>
      <c r="L197" s="17" t="inlineStr">
        <is>
          <t>Não</t>
        </is>
      </c>
      <c r="M197" s="17" t="inlineStr">
        <is>
          <t>Sim</t>
        </is>
      </c>
      <c r="N197" s="17" t="inlineStr">
        <is>
          <t>Não</t>
        </is>
      </c>
    </row>
    <row r="198">
      <c r="A198" s="17" t="inlineStr">
        <is>
          <t>S-df5924</t>
        </is>
      </c>
      <c r="B198" s="17" t="inlineStr">
        <is>
          <t>A-443f6f</t>
        </is>
      </c>
      <c r="C198" s="17" t="inlineStr">
        <is>
          <t>Rápida</t>
        </is>
      </c>
      <c r="D198" s="17" t="inlineStr">
        <is>
          <t>Não</t>
        </is>
      </c>
      <c r="E198" s="18" t="n">
        <v>45647</v>
      </c>
      <c r="F198" s="18" t="n">
        <v>45648</v>
      </c>
      <c r="G198" s="17" t="n">
        <v>1</v>
      </c>
      <c r="H198" s="17" t="inlineStr">
        <is>
          <t>Pro</t>
        </is>
      </c>
      <c r="I198" s="17" t="inlineStr">
        <is>
          <t>annual</t>
        </is>
      </c>
      <c r="J198" s="17" t="n">
        <v>19</v>
      </c>
      <c r="K198" s="17" t="n">
        <v>5</v>
      </c>
      <c r="L198" s="17" t="inlineStr">
        <is>
          <t>Não</t>
        </is>
      </c>
      <c r="M198" s="17" t="inlineStr">
        <is>
          <t>Sim</t>
        </is>
      </c>
      <c r="N198" s="17" t="inlineStr">
        <is>
          <t>Sim</t>
        </is>
      </c>
    </row>
    <row r="199">
      <c r="A199" s="17" t="inlineStr">
        <is>
          <t>S-c1f160</t>
        </is>
      </c>
      <c r="B199" s="17" t="inlineStr">
        <is>
          <t>A-ccabf0</t>
        </is>
      </c>
      <c r="C199" s="17" t="inlineStr">
        <is>
          <t>Lenta</t>
        </is>
      </c>
      <c r="D199" s="17" t="inlineStr">
        <is>
          <t>Não</t>
        </is>
      </c>
      <c r="E199" s="18" t="n">
        <v>45487</v>
      </c>
      <c r="F199" s="18" t="n">
        <v>45630</v>
      </c>
      <c r="G199" s="17" t="n">
        <v>143</v>
      </c>
      <c r="H199" s="17" t="inlineStr">
        <is>
          <t>Pro</t>
        </is>
      </c>
      <c r="I199" s="17" t="inlineStr">
        <is>
          <t>annual</t>
        </is>
      </c>
      <c r="J199" s="17" t="n">
        <v>2</v>
      </c>
      <c r="K199" s="17" t="n">
        <v>8</v>
      </c>
      <c r="L199" s="17" t="inlineStr">
        <is>
          <t>Não</t>
        </is>
      </c>
      <c r="M199" s="17" t="inlineStr">
        <is>
          <t>Não</t>
        </is>
      </c>
      <c r="N199" s="17" t="inlineStr">
        <is>
          <t>Não</t>
        </is>
      </c>
    </row>
    <row r="200">
      <c r="A200" s="17" t="inlineStr">
        <is>
          <t>S-91709b</t>
        </is>
      </c>
      <c r="B200" s="17" t="inlineStr">
        <is>
          <t>A-ab438f</t>
        </is>
      </c>
      <c r="C200" s="17" t="inlineStr">
        <is>
          <t>Lenta</t>
        </is>
      </c>
      <c r="D200" s="17" t="inlineStr">
        <is>
          <t>Não</t>
        </is>
      </c>
      <c r="E200" s="18" t="n">
        <v>45622</v>
      </c>
      <c r="F200" s="18" t="n">
        <v>45657</v>
      </c>
      <c r="G200" s="17" t="n">
        <v>35</v>
      </c>
      <c r="H200" s="17" t="inlineStr">
        <is>
          <t>Enterprise</t>
        </is>
      </c>
      <c r="I200" s="17" t="inlineStr">
        <is>
          <t>annual</t>
        </is>
      </c>
      <c r="J200" s="17" t="n">
        <v>23</v>
      </c>
      <c r="K200" s="17" t="n">
        <v>5</v>
      </c>
      <c r="L200" s="17" t="inlineStr">
        <is>
          <t>Não</t>
        </is>
      </c>
      <c r="M200" s="17" t="inlineStr">
        <is>
          <t>Sim</t>
        </is>
      </c>
      <c r="N200" s="17" t="inlineStr">
        <is>
          <t>Não</t>
        </is>
      </c>
    </row>
    <row r="201">
      <c r="A201" s="17" t="inlineStr">
        <is>
          <t>S-766d8b</t>
        </is>
      </c>
      <c r="B201" s="17" t="inlineStr">
        <is>
          <t>A-82861f</t>
        </is>
      </c>
      <c r="C201" s="17" t="inlineStr">
        <is>
          <t>Lenta</t>
        </is>
      </c>
      <c r="D201" s="17" t="inlineStr">
        <is>
          <t>Não</t>
        </is>
      </c>
      <c r="E201" s="18" t="n">
        <v>45439</v>
      </c>
      <c r="F201" s="18" t="n">
        <v>45611</v>
      </c>
      <c r="G201" s="17" t="n">
        <v>172</v>
      </c>
      <c r="H201" s="17" t="inlineStr">
        <is>
          <t>Enterprise</t>
        </is>
      </c>
      <c r="I201" s="17" t="inlineStr">
        <is>
          <t>monthly</t>
        </is>
      </c>
      <c r="J201" s="17" t="n">
        <v>41</v>
      </c>
      <c r="K201" s="17" t="n">
        <v>6</v>
      </c>
      <c r="L201" s="17" t="inlineStr">
        <is>
          <t>Não</t>
        </is>
      </c>
      <c r="M201" s="17" t="inlineStr">
        <is>
          <t>Sim</t>
        </is>
      </c>
      <c r="N201" s="17" t="inlineStr">
        <is>
          <t>Sim</t>
        </is>
      </c>
    </row>
    <row r="202">
      <c r="A202" s="17" t="inlineStr">
        <is>
          <t>S-5856ab</t>
        </is>
      </c>
      <c r="B202" s="17" t="inlineStr">
        <is>
          <t>A-3c1a3f</t>
        </is>
      </c>
      <c r="C202" s="17" t="inlineStr">
        <is>
          <t>Lenta</t>
        </is>
      </c>
      <c r="D202" s="17" t="inlineStr">
        <is>
          <t>Não</t>
        </is>
      </c>
      <c r="E202" s="18" t="n">
        <v>45418</v>
      </c>
      <c r="F202" s="18" t="n">
        <v>45621</v>
      </c>
      <c r="G202" s="17" t="n">
        <v>203</v>
      </c>
      <c r="H202" s="17" t="inlineStr">
        <is>
          <t>Pro</t>
        </is>
      </c>
      <c r="I202" s="17" t="inlineStr">
        <is>
          <t>annual</t>
        </is>
      </c>
      <c r="J202" s="17" t="n">
        <v>19</v>
      </c>
      <c r="K202" s="17" t="n">
        <v>10</v>
      </c>
      <c r="L202" s="17" t="inlineStr">
        <is>
          <t>Não</t>
        </is>
      </c>
      <c r="M202" s="17" t="inlineStr">
        <is>
          <t>Não</t>
        </is>
      </c>
      <c r="N202" s="17" t="inlineStr">
        <is>
          <t>Não</t>
        </is>
      </c>
    </row>
    <row r="203">
      <c r="A203" s="17" t="inlineStr">
        <is>
          <t>S-c8a4ff</t>
        </is>
      </c>
      <c r="B203" s="17" t="inlineStr">
        <is>
          <t>A-fabe19</t>
        </is>
      </c>
      <c r="C203" s="17" t="inlineStr">
        <is>
          <t>Rápida</t>
        </is>
      </c>
      <c r="D203" s="17" t="inlineStr">
        <is>
          <t>Não</t>
        </is>
      </c>
      <c r="E203" s="18" t="n">
        <v>45650</v>
      </c>
      <c r="F203" s="18" t="n">
        <v>45655</v>
      </c>
      <c r="G203" s="17" t="n">
        <v>5</v>
      </c>
      <c r="H203" s="17" t="inlineStr">
        <is>
          <t>Enterprise</t>
        </is>
      </c>
      <c r="I203" s="17" t="inlineStr">
        <is>
          <t>annual</t>
        </is>
      </c>
      <c r="J203" s="17" t="n">
        <v>23</v>
      </c>
      <c r="K203" s="17" t="n">
        <v>5</v>
      </c>
      <c r="L203" s="17" t="inlineStr">
        <is>
          <t>Não</t>
        </is>
      </c>
      <c r="M203" s="17" t="inlineStr">
        <is>
          <t>Sim</t>
        </is>
      </c>
      <c r="N203" s="17" t="inlineStr">
        <is>
          <t>Não</t>
        </is>
      </c>
    </row>
    <row r="204">
      <c r="A204" s="17" t="inlineStr">
        <is>
          <t>S-a3927a</t>
        </is>
      </c>
      <c r="B204" s="17" t="inlineStr">
        <is>
          <t>A-378b99</t>
        </is>
      </c>
      <c r="C204" s="17" t="inlineStr">
        <is>
          <t>Rápida</t>
        </is>
      </c>
      <c r="D204" s="17" t="inlineStr">
        <is>
          <t>Não</t>
        </is>
      </c>
      <c r="E204" s="18" t="n">
        <v>45628</v>
      </c>
      <c r="F204" s="18" t="n">
        <v>45656</v>
      </c>
      <c r="G204" s="17" t="n">
        <v>28</v>
      </c>
      <c r="H204" s="17" t="inlineStr">
        <is>
          <t>Enterprise</t>
        </is>
      </c>
      <c r="I204" s="17" t="inlineStr">
        <is>
          <t>annual</t>
        </is>
      </c>
      <c r="J204" s="17" t="n">
        <v>8</v>
      </c>
      <c r="K204" s="17" t="n">
        <v>11</v>
      </c>
      <c r="L204" s="17" t="inlineStr">
        <is>
          <t>Não</t>
        </is>
      </c>
      <c r="M204" s="17" t="inlineStr">
        <is>
          <t>Não</t>
        </is>
      </c>
      <c r="N204" s="17" t="inlineStr">
        <is>
          <t>Não</t>
        </is>
      </c>
    </row>
    <row r="205">
      <c r="A205" s="17" t="inlineStr">
        <is>
          <t>S-f2dd76</t>
        </is>
      </c>
      <c r="B205" s="17" t="inlineStr">
        <is>
          <t>A-443b7c</t>
        </is>
      </c>
      <c r="C205" s="17" t="inlineStr">
        <is>
          <t>Rápida</t>
        </is>
      </c>
      <c r="D205" s="17" t="inlineStr">
        <is>
          <t>Não</t>
        </is>
      </c>
      <c r="E205" s="18" t="n">
        <v>45609</v>
      </c>
      <c r="F205" s="18" t="n">
        <v>45617</v>
      </c>
      <c r="G205" s="17" t="n">
        <v>8</v>
      </c>
      <c r="H205" s="17" t="inlineStr">
        <is>
          <t>Pro</t>
        </is>
      </c>
      <c r="I205" s="17" t="inlineStr">
        <is>
          <t>monthly</t>
        </is>
      </c>
      <c r="J205" s="17" t="n">
        <v>39</v>
      </c>
      <c r="K205" s="17" t="n">
        <v>12</v>
      </c>
      <c r="L205" s="17" t="inlineStr">
        <is>
          <t>Não</t>
        </is>
      </c>
      <c r="M205" s="17" t="inlineStr">
        <is>
          <t>Sim</t>
        </is>
      </c>
      <c r="N205" s="17" t="inlineStr">
        <is>
          <t>Não</t>
        </is>
      </c>
    </row>
    <row r="206">
      <c r="A206" s="17" t="inlineStr">
        <is>
          <t>S-51cb35</t>
        </is>
      </c>
      <c r="B206" s="17" t="inlineStr">
        <is>
          <t>A-18793f</t>
        </is>
      </c>
      <c r="C206" s="17" t="inlineStr">
        <is>
          <t>Rápida</t>
        </is>
      </c>
      <c r="D206" s="17" t="inlineStr">
        <is>
          <t>Sim</t>
        </is>
      </c>
      <c r="E206" s="18" t="n">
        <v>45646</v>
      </c>
      <c r="F206" s="18" t="n">
        <v>45655</v>
      </c>
      <c r="G206" s="17" t="n">
        <v>9</v>
      </c>
      <c r="H206" s="17" t="inlineStr">
        <is>
          <t>Basic</t>
        </is>
      </c>
      <c r="I206" s="17" t="inlineStr">
        <is>
          <t>annual</t>
        </is>
      </c>
      <c r="J206" s="17" t="n">
        <v>148</v>
      </c>
      <c r="K206" s="17" t="n">
        <v>9</v>
      </c>
      <c r="L206" s="17" t="inlineStr">
        <is>
          <t>Não</t>
        </is>
      </c>
      <c r="M206" s="17" t="inlineStr">
        <is>
          <t>Sim</t>
        </is>
      </c>
      <c r="N206" s="17" t="inlineStr">
        <is>
          <t>Sim</t>
        </is>
      </c>
    </row>
    <row r="207">
      <c r="A207" s="17" t="inlineStr">
        <is>
          <t>S-cdc644</t>
        </is>
      </c>
      <c r="B207" s="17" t="inlineStr">
        <is>
          <t>A-76fa4d</t>
        </is>
      </c>
      <c r="C207" s="17" t="inlineStr">
        <is>
          <t>Rápida</t>
        </is>
      </c>
      <c r="D207" s="17" t="inlineStr">
        <is>
          <t>Sim</t>
        </is>
      </c>
      <c r="E207" s="18" t="n">
        <v>45629</v>
      </c>
      <c r="F207" s="18" t="n">
        <v>45657</v>
      </c>
      <c r="G207" s="17" t="n">
        <v>28</v>
      </c>
      <c r="H207" s="17" t="inlineStr">
        <is>
          <t>Enterprise</t>
        </is>
      </c>
      <c r="I207" s="17" t="inlineStr">
        <is>
          <t>annual</t>
        </is>
      </c>
      <c r="J207" s="17" t="n">
        <v>69</v>
      </c>
      <c r="K207" s="17" t="n">
        <v>5</v>
      </c>
      <c r="L207" s="17" t="inlineStr">
        <is>
          <t>Não</t>
        </is>
      </c>
      <c r="M207" s="17" t="inlineStr">
        <is>
          <t>Sim</t>
        </is>
      </c>
      <c r="N207" s="17" t="inlineStr">
        <is>
          <t>Sim</t>
        </is>
      </c>
    </row>
    <row r="208">
      <c r="A208" s="17" t="inlineStr">
        <is>
          <t>S-9e8b22</t>
        </is>
      </c>
      <c r="B208" s="17" t="inlineStr">
        <is>
          <t>A-7c6b6b</t>
        </is>
      </c>
      <c r="C208" s="17" t="inlineStr">
        <is>
          <t>Rápida</t>
        </is>
      </c>
      <c r="D208" s="17" t="inlineStr">
        <is>
          <t>Sim</t>
        </is>
      </c>
      <c r="E208" s="18" t="n">
        <v>45642</v>
      </c>
      <c r="F208" s="18" t="n">
        <v>45649</v>
      </c>
      <c r="G208" s="17" t="n">
        <v>7</v>
      </c>
      <c r="H208" s="17" t="inlineStr">
        <is>
          <t>Pro</t>
        </is>
      </c>
      <c r="I208" s="17" t="inlineStr">
        <is>
          <t>annual</t>
        </is>
      </c>
      <c r="J208" s="17" t="n">
        <v>6</v>
      </c>
      <c r="K208" s="17" t="n">
        <v>4</v>
      </c>
      <c r="L208" s="17" t="inlineStr">
        <is>
          <t>Não</t>
        </is>
      </c>
      <c r="M208" s="17" t="inlineStr">
        <is>
          <t>Sim</t>
        </is>
      </c>
      <c r="N208" s="17" t="inlineStr">
        <is>
          <t>Sim</t>
        </is>
      </c>
    </row>
    <row r="209">
      <c r="A209" s="17" t="inlineStr">
        <is>
          <t>S-76b176</t>
        </is>
      </c>
      <c r="B209" s="17" t="inlineStr">
        <is>
          <t>A-6da850</t>
        </is>
      </c>
      <c r="C209" s="17" t="inlineStr">
        <is>
          <t>Rápida</t>
        </is>
      </c>
      <c r="D209" s="17" t="inlineStr">
        <is>
          <t>Não</t>
        </is>
      </c>
      <c r="E209" s="18" t="n">
        <v>45606</v>
      </c>
      <c r="F209" s="18" t="n">
        <v>45635</v>
      </c>
      <c r="G209" s="17" t="n">
        <v>29</v>
      </c>
      <c r="H209" s="17" t="inlineStr">
        <is>
          <t>Pro</t>
        </is>
      </c>
      <c r="I209" s="17" t="inlineStr">
        <is>
          <t>monthly</t>
        </is>
      </c>
      <c r="J209" s="17" t="n">
        <v>8</v>
      </c>
      <c r="K209" s="17" t="n">
        <v>12</v>
      </c>
      <c r="L209" s="17" t="inlineStr">
        <is>
          <t>Não</t>
        </is>
      </c>
      <c r="M209" s="17" t="inlineStr">
        <is>
          <t>Não</t>
        </is>
      </c>
      <c r="N209" s="17" t="inlineStr">
        <is>
          <t>Não</t>
        </is>
      </c>
    </row>
    <row r="210">
      <c r="A210" s="17" t="inlineStr">
        <is>
          <t>S-f4b648</t>
        </is>
      </c>
      <c r="B210" s="17" t="inlineStr">
        <is>
          <t>A-8ae05d</t>
        </is>
      </c>
      <c r="C210" s="17" t="inlineStr">
        <is>
          <t>Lenta</t>
        </is>
      </c>
      <c r="D210" s="17" t="inlineStr">
        <is>
          <t>Não</t>
        </is>
      </c>
      <c r="E210" s="18" t="n">
        <v>45623</v>
      </c>
      <c r="F210" s="18" t="n">
        <v>45654</v>
      </c>
      <c r="G210" s="17" t="n">
        <v>31</v>
      </c>
      <c r="H210" s="17" t="inlineStr">
        <is>
          <t>Enterprise</t>
        </is>
      </c>
      <c r="I210" s="17" t="inlineStr">
        <is>
          <t>annual</t>
        </is>
      </c>
      <c r="J210" s="17" t="n">
        <v>86</v>
      </c>
      <c r="K210" s="17" t="n">
        <v>6</v>
      </c>
      <c r="L210" s="17" t="inlineStr">
        <is>
          <t>Não</t>
        </is>
      </c>
      <c r="M210" s="17" t="inlineStr">
        <is>
          <t>Não</t>
        </is>
      </c>
      <c r="N210" s="17" t="inlineStr">
        <is>
          <t>Não</t>
        </is>
      </c>
    </row>
    <row r="211">
      <c r="A211" s="17" t="inlineStr">
        <is>
          <t>S-88cc86</t>
        </is>
      </c>
      <c r="B211" s="17" t="inlineStr">
        <is>
          <t>A-80eeb6</t>
        </is>
      </c>
      <c r="C211" s="17" t="inlineStr">
        <is>
          <t>Rápida</t>
        </is>
      </c>
      <c r="D211" s="17" t="inlineStr">
        <is>
          <t>Não</t>
        </is>
      </c>
      <c r="E211" s="18" t="n">
        <v>45646</v>
      </c>
      <c r="F211" s="18" t="n">
        <v>45657</v>
      </c>
      <c r="G211" s="17" t="n">
        <v>11</v>
      </c>
      <c r="H211" s="17" t="inlineStr">
        <is>
          <t>Enterprise</t>
        </is>
      </c>
      <c r="I211" s="17" t="inlineStr">
        <is>
          <t>annual</t>
        </is>
      </c>
      <c r="J211" s="17" t="n">
        <v>22</v>
      </c>
      <c r="K211" s="17" t="n">
        <v>13</v>
      </c>
      <c r="L211" s="17" t="inlineStr">
        <is>
          <t>Não</t>
        </is>
      </c>
      <c r="M211" s="17" t="inlineStr">
        <is>
          <t>Não</t>
        </is>
      </c>
      <c r="N211" s="17" t="inlineStr">
        <is>
          <t>Não</t>
        </is>
      </c>
    </row>
    <row r="212">
      <c r="A212" s="17" t="inlineStr">
        <is>
          <t>S-983266</t>
        </is>
      </c>
      <c r="B212" s="17" t="inlineStr">
        <is>
          <t>A-dcc2f0</t>
        </is>
      </c>
      <c r="C212" s="17" t="inlineStr">
        <is>
          <t>Lenta</t>
        </is>
      </c>
      <c r="D212" s="17" t="inlineStr">
        <is>
          <t>Não</t>
        </is>
      </c>
      <c r="E212" s="18" t="n">
        <v>45551</v>
      </c>
      <c r="F212" s="18" t="n">
        <v>45599</v>
      </c>
      <c r="G212" s="17" t="n">
        <v>48</v>
      </c>
      <c r="H212" s="17" t="inlineStr">
        <is>
          <t>Pro</t>
        </is>
      </c>
      <c r="I212" s="17" t="inlineStr">
        <is>
          <t>annual</t>
        </is>
      </c>
      <c r="J212" s="17" t="n">
        <v>15</v>
      </c>
      <c r="K212" s="17" t="n">
        <v>12</v>
      </c>
      <c r="L212" s="17" t="inlineStr">
        <is>
          <t>Não</t>
        </is>
      </c>
      <c r="M212" s="17" t="inlineStr">
        <is>
          <t>Não</t>
        </is>
      </c>
      <c r="N212" s="17" t="inlineStr">
        <is>
          <t>Não</t>
        </is>
      </c>
    </row>
    <row r="213">
      <c r="A213" s="17" t="inlineStr">
        <is>
          <t>S-65731a</t>
        </is>
      </c>
      <c r="B213" s="17" t="inlineStr">
        <is>
          <t>A-684255</t>
        </is>
      </c>
      <c r="C213" s="17" t="inlineStr">
        <is>
          <t>Rápida</t>
        </is>
      </c>
      <c r="D213" s="17" t="inlineStr">
        <is>
          <t>Não</t>
        </is>
      </c>
      <c r="E213" s="18" t="n">
        <v>45641</v>
      </c>
      <c r="F213" s="18" t="n">
        <v>45652</v>
      </c>
      <c r="G213" s="17" t="n">
        <v>11</v>
      </c>
      <c r="H213" s="17" t="inlineStr">
        <is>
          <t>Basic</t>
        </is>
      </c>
      <c r="I213" s="17" t="inlineStr">
        <is>
          <t>annual</t>
        </is>
      </c>
      <c r="J213" s="17" t="n">
        <v>9</v>
      </c>
      <c r="K213" s="17" t="n">
        <v>11</v>
      </c>
      <c r="L213" s="17" t="inlineStr">
        <is>
          <t>Não</t>
        </is>
      </c>
      <c r="M213" s="17" t="inlineStr">
        <is>
          <t>Não</t>
        </is>
      </c>
      <c r="N213" s="17" t="inlineStr">
        <is>
          <t>Não</t>
        </is>
      </c>
    </row>
    <row r="214">
      <c r="A214" s="17" t="inlineStr">
        <is>
          <t>S-1be7c5</t>
        </is>
      </c>
      <c r="B214" s="17" t="inlineStr">
        <is>
          <t>A-80eeb6</t>
        </is>
      </c>
      <c r="C214" s="17" t="inlineStr">
        <is>
          <t>Lenta</t>
        </is>
      </c>
      <c r="D214" s="17" t="inlineStr">
        <is>
          <t>Não</t>
        </is>
      </c>
      <c r="E214" s="18" t="n">
        <v>45122</v>
      </c>
      <c r="F214" s="18" t="n">
        <v>45601</v>
      </c>
      <c r="G214" s="17" t="n">
        <v>479</v>
      </c>
      <c r="H214" s="17" t="inlineStr">
        <is>
          <t>Basic</t>
        </is>
      </c>
      <c r="I214" s="17" t="inlineStr">
        <is>
          <t>monthly</t>
        </is>
      </c>
      <c r="J214" s="17" t="n">
        <v>34</v>
      </c>
      <c r="K214" s="17" t="n">
        <v>13</v>
      </c>
      <c r="L214" s="17" t="inlineStr">
        <is>
          <t>Não</t>
        </is>
      </c>
      <c r="M214" s="17" t="inlineStr">
        <is>
          <t>Sim</t>
        </is>
      </c>
      <c r="N214" s="17" t="inlineStr">
        <is>
          <t>Não</t>
        </is>
      </c>
    </row>
    <row r="215">
      <c r="A215" s="17" t="inlineStr">
        <is>
          <t>S-404132</t>
        </is>
      </c>
      <c r="B215" s="17" t="inlineStr">
        <is>
          <t>A-39ddf4</t>
        </is>
      </c>
      <c r="C215" s="17" t="inlineStr">
        <is>
          <t>Rápida</t>
        </is>
      </c>
      <c r="D215" s="17" t="inlineStr">
        <is>
          <t>Sim</t>
        </is>
      </c>
      <c r="E215" s="18" t="n">
        <v>45646</v>
      </c>
      <c r="F215" s="18" t="n">
        <v>45655</v>
      </c>
      <c r="G215" s="17" t="n">
        <v>9</v>
      </c>
      <c r="H215" s="17" t="inlineStr">
        <is>
          <t>Pro</t>
        </is>
      </c>
      <c r="I215" s="17" t="inlineStr">
        <is>
          <t>annual</t>
        </is>
      </c>
      <c r="J215" s="17" t="n">
        <v>40</v>
      </c>
      <c r="K215" s="17" t="n">
        <v>7</v>
      </c>
      <c r="L215" s="17" t="inlineStr">
        <is>
          <t>Não</t>
        </is>
      </c>
      <c r="M215" s="17" t="inlineStr">
        <is>
          <t>Sim</t>
        </is>
      </c>
      <c r="N215" s="17" t="inlineStr">
        <is>
          <t>Sim</t>
        </is>
      </c>
    </row>
    <row r="216">
      <c r="A216" s="17" t="inlineStr">
        <is>
          <t>S-975ee4</t>
        </is>
      </c>
      <c r="B216" s="17" t="inlineStr">
        <is>
          <t>A-a09355</t>
        </is>
      </c>
      <c r="C216" s="17" t="inlineStr">
        <is>
          <t>Rápida</t>
        </is>
      </c>
      <c r="D216" s="17" t="inlineStr">
        <is>
          <t>Não</t>
        </is>
      </c>
      <c r="E216" s="18" t="n">
        <v>45614</v>
      </c>
      <c r="F216" s="18" t="n">
        <v>45620</v>
      </c>
      <c r="G216" s="17" t="n">
        <v>6</v>
      </c>
      <c r="H216" s="17" t="inlineStr">
        <is>
          <t>Pro</t>
        </is>
      </c>
      <c r="I216" s="17" t="inlineStr">
        <is>
          <t>annual</t>
        </is>
      </c>
      <c r="J216" s="17" t="n">
        <v>14</v>
      </c>
      <c r="K216" s="17" t="n">
        <v>11</v>
      </c>
      <c r="L216" s="17" t="inlineStr">
        <is>
          <t>Não</t>
        </is>
      </c>
      <c r="M216" s="17" t="inlineStr">
        <is>
          <t>Sim</t>
        </is>
      </c>
      <c r="N216" s="17" t="inlineStr">
        <is>
          <t>Não</t>
        </is>
      </c>
    </row>
    <row r="217">
      <c r="A217" s="17" t="inlineStr">
        <is>
          <t>S-50c6f5</t>
        </is>
      </c>
      <c r="B217" s="17" t="inlineStr">
        <is>
          <t>A-a6d261</t>
        </is>
      </c>
      <c r="C217" s="17" t="inlineStr">
        <is>
          <t>Lenta</t>
        </is>
      </c>
      <c r="D217" s="17" t="inlineStr">
        <is>
          <t>Não</t>
        </is>
      </c>
      <c r="E217" s="18" t="n">
        <v>45408</v>
      </c>
      <c r="F217" s="18" t="n">
        <v>45622</v>
      </c>
      <c r="G217" s="17" t="n">
        <v>214</v>
      </c>
      <c r="H217" s="17" t="inlineStr">
        <is>
          <t>Enterprise</t>
        </is>
      </c>
      <c r="I217" s="17" t="inlineStr">
        <is>
          <t>monthly</t>
        </is>
      </c>
      <c r="J217" s="17" t="n">
        <v>103</v>
      </c>
      <c r="K217" s="17" t="n">
        <v>13</v>
      </c>
      <c r="L217" s="17" t="inlineStr">
        <is>
          <t>Não</t>
        </is>
      </c>
      <c r="M217" s="17" t="inlineStr">
        <is>
          <t>Sim</t>
        </is>
      </c>
      <c r="N217" s="17" t="inlineStr">
        <is>
          <t>Não</t>
        </is>
      </c>
    </row>
    <row r="218">
      <c r="A218" s="17" t="inlineStr">
        <is>
          <t>S-c7f2e5</t>
        </is>
      </c>
      <c r="B218" s="17" t="inlineStr">
        <is>
          <t>A-34ea2f</t>
        </is>
      </c>
      <c r="C218" s="17" t="inlineStr">
        <is>
          <t>Rápida</t>
        </is>
      </c>
      <c r="D218" s="17" t="inlineStr">
        <is>
          <t>Não</t>
        </is>
      </c>
      <c r="E218" s="18" t="n">
        <v>45605</v>
      </c>
      <c r="F218" s="18" t="n">
        <v>45615</v>
      </c>
      <c r="G218" s="17" t="n">
        <v>10</v>
      </c>
      <c r="H218" s="17" t="inlineStr">
        <is>
          <t>Enterprise</t>
        </is>
      </c>
      <c r="I218" s="17" t="inlineStr">
        <is>
          <t>annual</t>
        </is>
      </c>
      <c r="J218" s="17" t="n">
        <v>21</v>
      </c>
      <c r="K218" s="17" t="n">
        <v>9</v>
      </c>
      <c r="L218" s="17" t="inlineStr">
        <is>
          <t>Não</t>
        </is>
      </c>
      <c r="M218" s="17" t="inlineStr">
        <is>
          <t>Sim</t>
        </is>
      </c>
      <c r="N218" s="17" t="inlineStr">
        <is>
          <t>Não</t>
        </is>
      </c>
    </row>
    <row r="219">
      <c r="A219" s="17" t="inlineStr">
        <is>
          <t>S-4e63e7</t>
        </is>
      </c>
      <c r="B219" s="17" t="inlineStr">
        <is>
          <t>A-a33200</t>
        </is>
      </c>
      <c r="C219" s="17" t="inlineStr">
        <is>
          <t>Lenta</t>
        </is>
      </c>
      <c r="D219" s="17" t="inlineStr">
        <is>
          <t>Não</t>
        </is>
      </c>
      <c r="E219" s="18" t="n">
        <v>45590</v>
      </c>
      <c r="F219" s="18" t="n">
        <v>45620</v>
      </c>
      <c r="G219" s="17" t="n">
        <v>30</v>
      </c>
      <c r="H219" s="17" t="inlineStr">
        <is>
          <t>Enterprise</t>
        </is>
      </c>
      <c r="I219" s="17" t="inlineStr">
        <is>
          <t>annual</t>
        </is>
      </c>
      <c r="J219" s="17" t="n">
        <v>29</v>
      </c>
      <c r="K219" s="17" t="n">
        <v>7</v>
      </c>
      <c r="L219" s="17" t="inlineStr">
        <is>
          <t>Não</t>
        </is>
      </c>
      <c r="M219" s="17" t="inlineStr">
        <is>
          <t>Sim</t>
        </is>
      </c>
      <c r="N219" s="17" t="inlineStr">
        <is>
          <t>Sim</t>
        </is>
      </c>
    </row>
    <row r="220">
      <c r="A220" s="17" t="inlineStr">
        <is>
          <t>S-2e0575</t>
        </is>
      </c>
      <c r="B220" s="17" t="inlineStr">
        <is>
          <t>A-4814a3</t>
        </is>
      </c>
      <c r="C220" s="17" t="inlineStr">
        <is>
          <t>Lenta</t>
        </is>
      </c>
      <c r="D220" s="17" t="inlineStr">
        <is>
          <t>Não</t>
        </is>
      </c>
      <c r="E220" s="18" t="n">
        <v>45602</v>
      </c>
      <c r="F220" s="18" t="n">
        <v>45657</v>
      </c>
      <c r="G220" s="17" t="n">
        <v>55</v>
      </c>
      <c r="H220" s="17" t="inlineStr">
        <is>
          <t>Enterprise</t>
        </is>
      </c>
      <c r="I220" s="17" t="inlineStr">
        <is>
          <t>annual</t>
        </is>
      </c>
      <c r="J220" s="17" t="n">
        <v>87</v>
      </c>
      <c r="K220" s="17" t="n">
        <v>10</v>
      </c>
      <c r="L220" s="17" t="inlineStr">
        <is>
          <t>Não</t>
        </is>
      </c>
      <c r="M220" s="17" t="inlineStr">
        <is>
          <t>Sim</t>
        </is>
      </c>
      <c r="N220" s="17" t="inlineStr">
        <is>
          <t>Sim</t>
        </is>
      </c>
    </row>
    <row r="221">
      <c r="A221" s="17" t="inlineStr">
        <is>
          <t>S-aadf83</t>
        </is>
      </c>
      <c r="B221" s="17" t="inlineStr">
        <is>
          <t>A-700ade</t>
        </is>
      </c>
      <c r="C221" s="17" t="inlineStr">
        <is>
          <t>Rápida</t>
        </is>
      </c>
      <c r="D221" s="17" t="inlineStr">
        <is>
          <t>Não</t>
        </is>
      </c>
      <c r="E221" s="18" t="n">
        <v>45616</v>
      </c>
      <c r="F221" s="18" t="n">
        <v>45630</v>
      </c>
      <c r="G221" s="17" t="n">
        <v>14</v>
      </c>
      <c r="H221" s="17" t="inlineStr">
        <is>
          <t>Enterprise</t>
        </is>
      </c>
      <c r="I221" s="17" t="inlineStr">
        <is>
          <t>annual</t>
        </is>
      </c>
      <c r="J221" s="17" t="n">
        <v>9</v>
      </c>
      <c r="K221" s="17" t="n">
        <v>5</v>
      </c>
      <c r="L221" s="17" t="inlineStr">
        <is>
          <t>Não</t>
        </is>
      </c>
      <c r="M221" s="17" t="inlineStr">
        <is>
          <t>Não</t>
        </is>
      </c>
      <c r="N221" s="17" t="inlineStr">
        <is>
          <t>Não</t>
        </is>
      </c>
    </row>
    <row r="222">
      <c r="A222" s="17" t="inlineStr">
        <is>
          <t>S-ff9bde</t>
        </is>
      </c>
      <c r="B222" s="17" t="inlineStr">
        <is>
          <t>A-8bde0c</t>
        </is>
      </c>
      <c r="C222" s="17" t="inlineStr">
        <is>
          <t>Rápida</t>
        </is>
      </c>
      <c r="D222" s="17" t="inlineStr">
        <is>
          <t>Sim</t>
        </is>
      </c>
      <c r="E222" s="18" t="n">
        <v>45646</v>
      </c>
      <c r="F222" s="18" t="n">
        <v>45648</v>
      </c>
      <c r="G222" s="17" t="n">
        <v>2</v>
      </c>
      <c r="H222" s="17" t="inlineStr">
        <is>
          <t>Pro</t>
        </is>
      </c>
      <c r="I222" s="17" t="inlineStr">
        <is>
          <t>monthly</t>
        </is>
      </c>
      <c r="J222" s="17" t="n">
        <v>12</v>
      </c>
      <c r="K222" s="17" t="n">
        <v>12</v>
      </c>
      <c r="L222" s="17" t="inlineStr">
        <is>
          <t>Não</t>
        </is>
      </c>
      <c r="M222" s="17" t="inlineStr">
        <is>
          <t>Sim</t>
        </is>
      </c>
      <c r="N222" s="17" t="inlineStr">
        <is>
          <t>Sim</t>
        </is>
      </c>
    </row>
    <row r="223">
      <c r="A223" s="17" t="inlineStr">
        <is>
          <t>S-46ff9c</t>
        </is>
      </c>
      <c r="B223" s="17" t="inlineStr">
        <is>
          <t>A-139c3b</t>
        </is>
      </c>
      <c r="C223" s="17" t="inlineStr">
        <is>
          <t>Rápida</t>
        </is>
      </c>
      <c r="D223" s="17" t="inlineStr">
        <is>
          <t>Não</t>
        </is>
      </c>
      <c r="E223" s="18" t="n">
        <v>45623</v>
      </c>
      <c r="F223" s="18" t="n">
        <v>45642</v>
      </c>
      <c r="G223" s="17" t="n">
        <v>19</v>
      </c>
      <c r="H223" s="17" t="inlineStr">
        <is>
          <t>Pro</t>
        </is>
      </c>
      <c r="I223" s="17" t="inlineStr">
        <is>
          <t>monthly</t>
        </is>
      </c>
      <c r="J223" s="17" t="n">
        <v>28</v>
      </c>
      <c r="K223" s="17" t="n">
        <v>3</v>
      </c>
      <c r="L223" s="17" t="inlineStr">
        <is>
          <t>Não</t>
        </is>
      </c>
      <c r="M223" s="17" t="inlineStr">
        <is>
          <t>Sim</t>
        </is>
      </c>
      <c r="N223" s="17" t="inlineStr">
        <is>
          <t>Não</t>
        </is>
      </c>
    </row>
    <row r="224">
      <c r="A224" s="17" t="inlineStr">
        <is>
          <t>S-d91f4c</t>
        </is>
      </c>
      <c r="B224" s="17" t="inlineStr">
        <is>
          <t>A-1b7577</t>
        </is>
      </c>
      <c r="C224" s="17" t="inlineStr">
        <is>
          <t>Rápida</t>
        </is>
      </c>
      <c r="D224" s="17" t="inlineStr">
        <is>
          <t>Não</t>
        </is>
      </c>
      <c r="E224" s="18" t="n">
        <v>45611</v>
      </c>
      <c r="F224" s="18" t="n">
        <v>45611</v>
      </c>
      <c r="G224" s="17" t="n">
        <v>0</v>
      </c>
      <c r="H224" s="17" t="inlineStr">
        <is>
          <t>Basic</t>
        </is>
      </c>
      <c r="I224" s="17" t="inlineStr">
        <is>
          <t>monthly</t>
        </is>
      </c>
      <c r="J224" s="17" t="n">
        <v>10</v>
      </c>
      <c r="K224" s="17" t="n">
        <v>4</v>
      </c>
      <c r="L224" s="17" t="inlineStr">
        <is>
          <t>Não</t>
        </is>
      </c>
      <c r="M224" s="17" t="inlineStr">
        <is>
          <t>Sim</t>
        </is>
      </c>
      <c r="N224" s="17" t="inlineStr">
        <is>
          <t>Não</t>
        </is>
      </c>
    </row>
    <row r="225">
      <c r="A225" s="17" t="inlineStr">
        <is>
          <t>S-4df118</t>
        </is>
      </c>
      <c r="B225" s="17" t="inlineStr">
        <is>
          <t>A-86fc1d</t>
        </is>
      </c>
      <c r="C225" s="17" t="inlineStr">
        <is>
          <t>Rápida</t>
        </is>
      </c>
      <c r="D225" s="17" t="inlineStr">
        <is>
          <t>Não</t>
        </is>
      </c>
      <c r="E225" s="18" t="n">
        <v>45593</v>
      </c>
      <c r="F225" s="18" t="n">
        <v>45598</v>
      </c>
      <c r="G225" s="17" t="n">
        <v>5</v>
      </c>
      <c r="H225" s="17" t="inlineStr">
        <is>
          <t>Basic</t>
        </is>
      </c>
      <c r="I225" s="17" t="inlineStr">
        <is>
          <t>monthly</t>
        </is>
      </c>
      <c r="J225" s="17" t="n">
        <v>26</v>
      </c>
      <c r="K225" s="17" t="n">
        <v>4</v>
      </c>
      <c r="L225" s="17" t="inlineStr">
        <is>
          <t>Não</t>
        </is>
      </c>
      <c r="M225" s="17" t="inlineStr">
        <is>
          <t>Sim</t>
        </is>
      </c>
      <c r="N225" s="17" t="inlineStr">
        <is>
          <t>Sim</t>
        </is>
      </c>
    </row>
    <row r="226">
      <c r="A226" s="17" t="inlineStr">
        <is>
          <t>S-d82234</t>
        </is>
      </c>
      <c r="B226" s="17" t="inlineStr">
        <is>
          <t>A-d77f4c</t>
        </is>
      </c>
      <c r="C226" s="17" t="inlineStr">
        <is>
          <t>Rápida</t>
        </is>
      </c>
      <c r="D226" s="17" t="inlineStr">
        <is>
          <t>Não</t>
        </is>
      </c>
      <c r="E226" s="18" t="n">
        <v>45643</v>
      </c>
      <c r="F226" s="18" t="n">
        <v>45644</v>
      </c>
      <c r="G226" s="17" t="n">
        <v>1</v>
      </c>
      <c r="H226" s="17" t="inlineStr">
        <is>
          <t>Pro</t>
        </is>
      </c>
      <c r="I226" s="17" t="inlineStr">
        <is>
          <t>annual</t>
        </is>
      </c>
      <c r="J226" s="17" t="n">
        <v>4</v>
      </c>
      <c r="K226" s="17" t="n">
        <v>12</v>
      </c>
      <c r="L226" s="17" t="inlineStr">
        <is>
          <t>Não</t>
        </is>
      </c>
      <c r="M226" s="17" t="inlineStr">
        <is>
          <t>Não</t>
        </is>
      </c>
      <c r="N226" s="17" t="inlineStr">
        <is>
          <t>Não</t>
        </is>
      </c>
    </row>
    <row r="227">
      <c r="A227" s="17" t="inlineStr">
        <is>
          <t>S-2361ec</t>
        </is>
      </c>
      <c r="B227" s="17" t="inlineStr">
        <is>
          <t>A-c45b23</t>
        </is>
      </c>
      <c r="C227" s="17" t="inlineStr">
        <is>
          <t>Rápida</t>
        </is>
      </c>
      <c r="D227" s="17" t="inlineStr">
        <is>
          <t>Não</t>
        </is>
      </c>
      <c r="E227" s="18" t="n">
        <v>45638</v>
      </c>
      <c r="F227" s="18" t="n">
        <v>45641</v>
      </c>
      <c r="G227" s="17" t="n">
        <v>3</v>
      </c>
      <c r="H227" s="17" t="inlineStr">
        <is>
          <t>Enterprise</t>
        </is>
      </c>
      <c r="I227" s="17" t="inlineStr">
        <is>
          <t>annual</t>
        </is>
      </c>
      <c r="J227" s="17" t="n">
        <v>26</v>
      </c>
      <c r="K227" s="17" t="n">
        <v>11</v>
      </c>
      <c r="L227" s="17" t="inlineStr">
        <is>
          <t>Não</t>
        </is>
      </c>
      <c r="M227" s="17" t="inlineStr">
        <is>
          <t>Não</t>
        </is>
      </c>
      <c r="N227" s="17" t="inlineStr">
        <is>
          <t>Não</t>
        </is>
      </c>
    </row>
    <row r="228">
      <c r="A228" s="17" t="inlineStr">
        <is>
          <t>S-6f47c5</t>
        </is>
      </c>
      <c r="B228" s="17" t="inlineStr">
        <is>
          <t>A-0b0d6d</t>
        </is>
      </c>
      <c r="C228" s="17" t="inlineStr">
        <is>
          <t>Rápida</t>
        </is>
      </c>
      <c r="D228" s="17" t="inlineStr">
        <is>
          <t>Sim</t>
        </is>
      </c>
      <c r="E228" s="18" t="n">
        <v>45657</v>
      </c>
      <c r="F228" s="18" t="n">
        <v>45657</v>
      </c>
      <c r="G228" s="17" t="n">
        <v>0</v>
      </c>
      <c r="H228" s="17" t="inlineStr">
        <is>
          <t>Enterprise</t>
        </is>
      </c>
      <c r="I228" s="17" t="inlineStr">
        <is>
          <t>annual</t>
        </is>
      </c>
      <c r="J228" s="17" t="n">
        <v>13</v>
      </c>
      <c r="K228" s="17" t="n">
        <v>11</v>
      </c>
      <c r="L228" s="17" t="inlineStr">
        <is>
          <t>Não</t>
        </is>
      </c>
      <c r="M228" s="17" t="inlineStr">
        <is>
          <t>Sim</t>
        </is>
      </c>
      <c r="N228" s="17" t="inlineStr">
        <is>
          <t>Sim</t>
        </is>
      </c>
    </row>
    <row r="229">
      <c r="A229" s="17" t="inlineStr">
        <is>
          <t>S-1e1853</t>
        </is>
      </c>
      <c r="B229" s="17" t="inlineStr">
        <is>
          <t>A-089363</t>
        </is>
      </c>
      <c r="C229" s="17" t="inlineStr">
        <is>
          <t>Lenta</t>
        </is>
      </c>
      <c r="D229" s="17" t="inlineStr">
        <is>
          <t>Não</t>
        </is>
      </c>
      <c r="E229" s="18" t="n">
        <v>45621</v>
      </c>
      <c r="F229" s="18" t="n">
        <v>45657</v>
      </c>
      <c r="G229" s="17" t="n">
        <v>36</v>
      </c>
      <c r="H229" s="17" t="inlineStr">
        <is>
          <t>Enterprise</t>
        </is>
      </c>
      <c r="I229" s="17" t="inlineStr">
        <is>
          <t>monthly</t>
        </is>
      </c>
      <c r="J229" s="17" t="n">
        <v>26</v>
      </c>
      <c r="K229" s="17" t="n">
        <v>12</v>
      </c>
      <c r="L229" s="17" t="inlineStr">
        <is>
          <t>Não</t>
        </is>
      </c>
      <c r="M229" s="17" t="inlineStr">
        <is>
          <t>Não</t>
        </is>
      </c>
      <c r="N229" s="17" t="inlineStr">
        <is>
          <t>Não</t>
        </is>
      </c>
    </row>
    <row r="230">
      <c r="A230" s="17" t="inlineStr">
        <is>
          <t>S-499ea3</t>
        </is>
      </c>
      <c r="B230" s="17" t="inlineStr">
        <is>
          <t>A-c16cf7</t>
        </is>
      </c>
      <c r="C230" s="17" t="inlineStr">
        <is>
          <t>Rápida</t>
        </is>
      </c>
      <c r="D230" s="17" t="inlineStr">
        <is>
          <t>Sim</t>
        </is>
      </c>
      <c r="E230" s="18" t="n">
        <v>45586</v>
      </c>
      <c r="F230" s="18" t="n">
        <v>45608</v>
      </c>
      <c r="G230" s="17" t="n">
        <v>22</v>
      </c>
      <c r="H230" s="17" t="inlineStr">
        <is>
          <t>Enterprise</t>
        </is>
      </c>
      <c r="I230" s="17" t="inlineStr">
        <is>
          <t>monthly</t>
        </is>
      </c>
      <c r="J230" s="17" t="n">
        <v>24</v>
      </c>
      <c r="K230" s="17" t="n">
        <v>4</v>
      </c>
      <c r="L230" s="17" t="inlineStr">
        <is>
          <t>Não</t>
        </is>
      </c>
      <c r="M230" s="17" t="inlineStr">
        <is>
          <t>Sim</t>
        </is>
      </c>
      <c r="N230" s="17" t="inlineStr">
        <is>
          <t>Não</t>
        </is>
      </c>
    </row>
    <row r="231">
      <c r="A231" s="17" t="inlineStr">
        <is>
          <t>S-6cb3d7</t>
        </is>
      </c>
      <c r="B231" s="17" t="inlineStr">
        <is>
          <t>A-fd7ad3</t>
        </is>
      </c>
      <c r="C231" s="17" t="inlineStr">
        <is>
          <t>Rápida</t>
        </is>
      </c>
      <c r="D231" s="17" t="inlineStr">
        <is>
          <t>Sim</t>
        </is>
      </c>
      <c r="E231" s="18" t="n">
        <v>45622</v>
      </c>
      <c r="F231" s="18" t="n">
        <v>45646</v>
      </c>
      <c r="G231" s="17" t="n">
        <v>24</v>
      </c>
      <c r="H231" s="17" t="inlineStr">
        <is>
          <t>Pro</t>
        </is>
      </c>
      <c r="I231" s="17" t="inlineStr">
        <is>
          <t>annual</t>
        </is>
      </c>
      <c r="J231" s="17" t="n">
        <v>11</v>
      </c>
      <c r="K231" s="17" t="n">
        <v>7</v>
      </c>
      <c r="L231" s="17" t="inlineStr">
        <is>
          <t>Não</t>
        </is>
      </c>
      <c r="M231" s="17" t="inlineStr">
        <is>
          <t>Sim</t>
        </is>
      </c>
      <c r="N231" s="17" t="inlineStr">
        <is>
          <t>Não</t>
        </is>
      </c>
    </row>
    <row r="232">
      <c r="A232" s="17" t="inlineStr">
        <is>
          <t>S-9f8b23</t>
        </is>
      </c>
      <c r="B232" s="17" t="inlineStr">
        <is>
          <t>A-118f1c</t>
        </is>
      </c>
      <c r="C232" s="17" t="inlineStr">
        <is>
          <t>Rápida</t>
        </is>
      </c>
      <c r="D232" s="17" t="inlineStr">
        <is>
          <t>Não</t>
        </is>
      </c>
      <c r="E232" s="18" t="n">
        <v>45650</v>
      </c>
      <c r="F232" s="18" t="n">
        <v>45652</v>
      </c>
      <c r="G232" s="17" t="n">
        <v>2</v>
      </c>
      <c r="H232" s="17" t="inlineStr">
        <is>
          <t>Enterprise</t>
        </is>
      </c>
      <c r="I232" s="17" t="inlineStr">
        <is>
          <t>annual</t>
        </is>
      </c>
      <c r="J232" s="17" t="n">
        <v>128</v>
      </c>
      <c r="K232" s="17" t="n">
        <v>6</v>
      </c>
      <c r="L232" s="17" t="inlineStr">
        <is>
          <t>Não</t>
        </is>
      </c>
      <c r="M232" s="17" t="inlineStr">
        <is>
          <t>Sim</t>
        </is>
      </c>
      <c r="N232" s="17" t="inlineStr">
        <is>
          <t>Não</t>
        </is>
      </c>
    </row>
    <row r="233">
      <c r="A233" s="17" t="inlineStr">
        <is>
          <t>S-eed91a</t>
        </is>
      </c>
      <c r="B233" s="17" t="inlineStr">
        <is>
          <t>A-22d9d2</t>
        </is>
      </c>
      <c r="C233" s="17" t="inlineStr">
        <is>
          <t>Rápida</t>
        </is>
      </c>
      <c r="D233" s="17" t="inlineStr">
        <is>
          <t>Não</t>
        </is>
      </c>
      <c r="E233" s="18" t="n">
        <v>45643</v>
      </c>
      <c r="F233" s="18" t="n">
        <v>45646</v>
      </c>
      <c r="G233" s="17" t="n">
        <v>3</v>
      </c>
      <c r="H233" s="17" t="inlineStr">
        <is>
          <t>Pro</t>
        </is>
      </c>
      <c r="I233" s="17" t="inlineStr">
        <is>
          <t>monthly</t>
        </is>
      </c>
      <c r="J233" s="17" t="n">
        <v>32</v>
      </c>
      <c r="K233" s="17" t="n">
        <v>11</v>
      </c>
      <c r="L233" s="17" t="inlineStr">
        <is>
          <t>Não</t>
        </is>
      </c>
      <c r="M233" s="17" t="inlineStr">
        <is>
          <t>Não</t>
        </is>
      </c>
      <c r="N233" s="17" t="inlineStr">
        <is>
          <t>Não</t>
        </is>
      </c>
    </row>
    <row r="234">
      <c r="A234" s="17" t="inlineStr">
        <is>
          <t>S-2178f0</t>
        </is>
      </c>
      <c r="B234" s="17" t="inlineStr">
        <is>
          <t>A-b30291</t>
        </is>
      </c>
      <c r="C234" s="17" t="inlineStr">
        <is>
          <t>Lenta</t>
        </is>
      </c>
      <c r="D234" s="17" t="inlineStr">
        <is>
          <t>Não</t>
        </is>
      </c>
      <c r="E234" s="18" t="n">
        <v>45561</v>
      </c>
      <c r="F234" s="18" t="n">
        <v>45598</v>
      </c>
      <c r="G234" s="17" t="n">
        <v>37</v>
      </c>
      <c r="H234" s="17" t="inlineStr">
        <is>
          <t>Basic</t>
        </is>
      </c>
      <c r="I234" s="17" t="inlineStr">
        <is>
          <t>monthly</t>
        </is>
      </c>
      <c r="J234" s="17" t="n">
        <v>5</v>
      </c>
      <c r="K234" s="17" t="n">
        <v>8</v>
      </c>
      <c r="L234" s="17" t="inlineStr">
        <is>
          <t>Não</t>
        </is>
      </c>
      <c r="M234" s="17" t="inlineStr">
        <is>
          <t>Não</t>
        </is>
      </c>
      <c r="N234" s="17" t="inlineStr">
        <is>
          <t>Não</t>
        </is>
      </c>
    </row>
    <row r="235">
      <c r="A235" s="17" t="inlineStr">
        <is>
          <t>S-1fb7ac</t>
        </is>
      </c>
      <c r="B235" s="17" t="inlineStr">
        <is>
          <t>A-117171</t>
        </is>
      </c>
      <c r="C235" s="17" t="inlineStr">
        <is>
          <t>Rápida</t>
        </is>
      </c>
      <c r="D235" s="17" t="inlineStr">
        <is>
          <t>Não</t>
        </is>
      </c>
      <c r="E235" s="18" t="n">
        <v>45640</v>
      </c>
      <c r="F235" s="18" t="n">
        <v>45643</v>
      </c>
      <c r="G235" s="17" t="n">
        <v>3</v>
      </c>
      <c r="H235" s="17" t="inlineStr">
        <is>
          <t>Pro</t>
        </is>
      </c>
      <c r="I235" s="17" t="inlineStr">
        <is>
          <t>annual</t>
        </is>
      </c>
      <c r="J235" s="17" t="n">
        <v>45</v>
      </c>
      <c r="K235" s="17" t="n">
        <v>4</v>
      </c>
      <c r="L235" s="17" t="inlineStr">
        <is>
          <t>Não</t>
        </is>
      </c>
      <c r="M235" s="17" t="inlineStr">
        <is>
          <t>Não</t>
        </is>
      </c>
      <c r="N235" s="17" t="inlineStr">
        <is>
          <t>Não</t>
        </is>
      </c>
    </row>
    <row r="236">
      <c r="A236" s="17" t="inlineStr">
        <is>
          <t>S-c2a14b</t>
        </is>
      </c>
      <c r="B236" s="17" t="inlineStr">
        <is>
          <t>A-526d93</t>
        </is>
      </c>
      <c r="C236" s="17" t="inlineStr">
        <is>
          <t>Rápida</t>
        </is>
      </c>
      <c r="D236" s="17" t="inlineStr">
        <is>
          <t>Não</t>
        </is>
      </c>
      <c r="E236" s="18" t="n">
        <v>45604</v>
      </c>
      <c r="F236" s="18" t="n">
        <v>45606</v>
      </c>
      <c r="G236" s="17" t="n">
        <v>2</v>
      </c>
      <c r="H236" s="17" t="inlineStr">
        <is>
          <t>Enterprise</t>
        </is>
      </c>
      <c r="I236" s="17" t="inlineStr">
        <is>
          <t>annual</t>
        </is>
      </c>
      <c r="J236" s="17" t="n">
        <v>43</v>
      </c>
      <c r="K236" s="17" t="n">
        <v>8</v>
      </c>
      <c r="L236" s="17" t="inlineStr">
        <is>
          <t>Não</t>
        </is>
      </c>
      <c r="M236" s="17" t="inlineStr">
        <is>
          <t>Não</t>
        </is>
      </c>
      <c r="N236" s="17" t="inlineStr">
        <is>
          <t>Não</t>
        </is>
      </c>
    </row>
    <row r="237">
      <c r="A237" s="17" t="inlineStr">
        <is>
          <t>S-94c40b</t>
        </is>
      </c>
      <c r="B237" s="17" t="inlineStr">
        <is>
          <t>A-7c6b6b</t>
        </is>
      </c>
      <c r="C237" s="17" t="inlineStr">
        <is>
          <t>Rápida</t>
        </is>
      </c>
      <c r="D237" s="17" t="inlineStr">
        <is>
          <t>Sim</t>
        </is>
      </c>
      <c r="E237" s="18" t="n">
        <v>45632</v>
      </c>
      <c r="F237" s="18" t="n">
        <v>45652</v>
      </c>
      <c r="G237" s="17" t="n">
        <v>20</v>
      </c>
      <c r="H237" s="17" t="inlineStr">
        <is>
          <t>Pro</t>
        </is>
      </c>
      <c r="I237" s="17" t="inlineStr">
        <is>
          <t>annual</t>
        </is>
      </c>
      <c r="J237" s="17" t="n">
        <v>26</v>
      </c>
      <c r="K237" s="17" t="n">
        <v>4</v>
      </c>
      <c r="L237" s="17" t="inlineStr">
        <is>
          <t>Não</t>
        </is>
      </c>
      <c r="M237" s="17" t="inlineStr">
        <is>
          <t>Sim</t>
        </is>
      </c>
      <c r="N237" s="17" t="inlineStr">
        <is>
          <t>Não</t>
        </is>
      </c>
    </row>
    <row r="238">
      <c r="A238" s="17" t="inlineStr">
        <is>
          <t>S-8fd696</t>
        </is>
      </c>
      <c r="B238" s="17" t="inlineStr">
        <is>
          <t>A-dec005</t>
        </is>
      </c>
      <c r="C238" s="17" t="inlineStr">
        <is>
          <t>Rápida</t>
        </is>
      </c>
      <c r="D238" s="17" t="inlineStr">
        <is>
          <t>Não</t>
        </is>
      </c>
      <c r="E238" s="18" t="n">
        <v>45611</v>
      </c>
      <c r="F238" s="18" t="n">
        <v>45629</v>
      </c>
      <c r="G238" s="17" t="n">
        <v>18</v>
      </c>
      <c r="H238" s="17" t="inlineStr">
        <is>
          <t>Enterprise</t>
        </is>
      </c>
      <c r="I238" s="17" t="inlineStr">
        <is>
          <t>annual</t>
        </is>
      </c>
      <c r="J238" s="17" t="n">
        <v>54</v>
      </c>
      <c r="K238" s="17" t="n">
        <v>9</v>
      </c>
      <c r="L238" s="17" t="inlineStr">
        <is>
          <t>Não</t>
        </is>
      </c>
      <c r="M238" s="17" t="inlineStr">
        <is>
          <t>Não</t>
        </is>
      </c>
      <c r="N238" s="17" t="inlineStr">
        <is>
          <t>Não</t>
        </is>
      </c>
    </row>
    <row r="239">
      <c r="A239" s="17" t="inlineStr">
        <is>
          <t>S-529f0c</t>
        </is>
      </c>
      <c r="B239" s="17" t="inlineStr">
        <is>
          <t>A-592832</t>
        </is>
      </c>
      <c r="C239" s="17" t="inlineStr">
        <is>
          <t>Rápida</t>
        </is>
      </c>
      <c r="D239" s="17" t="inlineStr">
        <is>
          <t>Não</t>
        </is>
      </c>
      <c r="E239" s="18" t="n">
        <v>45624</v>
      </c>
      <c r="F239" s="18" t="n">
        <v>45636</v>
      </c>
      <c r="G239" s="17" t="n">
        <v>12</v>
      </c>
      <c r="H239" s="17" t="inlineStr">
        <is>
          <t>Pro</t>
        </is>
      </c>
      <c r="I239" s="17" t="inlineStr">
        <is>
          <t>monthly</t>
        </is>
      </c>
      <c r="J239" s="17" t="n">
        <v>18</v>
      </c>
      <c r="K239" s="17" t="n">
        <v>11</v>
      </c>
      <c r="L239" s="17" t="inlineStr">
        <is>
          <t>Não</t>
        </is>
      </c>
      <c r="M239" s="17" t="inlineStr">
        <is>
          <t>Sim</t>
        </is>
      </c>
      <c r="N239" s="17" t="inlineStr">
        <is>
          <t>Sim</t>
        </is>
      </c>
    </row>
    <row r="240">
      <c r="A240" s="17" t="inlineStr">
        <is>
          <t>S-c92099</t>
        </is>
      </c>
      <c r="B240" s="17" t="inlineStr">
        <is>
          <t>A-7f4db3</t>
        </is>
      </c>
      <c r="C240" s="17" t="inlineStr">
        <is>
          <t>Rápida</t>
        </is>
      </c>
      <c r="D240" s="17" t="inlineStr">
        <is>
          <t>Não</t>
        </is>
      </c>
      <c r="E240" s="18" t="n">
        <v>45634</v>
      </c>
      <c r="F240" s="18" t="n">
        <v>45640</v>
      </c>
      <c r="G240" s="17" t="n">
        <v>6</v>
      </c>
      <c r="H240" s="17" t="inlineStr">
        <is>
          <t>Enterprise</t>
        </is>
      </c>
      <c r="I240" s="17" t="inlineStr">
        <is>
          <t>annual</t>
        </is>
      </c>
      <c r="J240" s="17" t="n">
        <v>24</v>
      </c>
      <c r="K240" s="17" t="n">
        <v>12</v>
      </c>
      <c r="L240" s="17" t="inlineStr">
        <is>
          <t>Não</t>
        </is>
      </c>
      <c r="M240" s="17" t="inlineStr">
        <is>
          <t>Não</t>
        </is>
      </c>
      <c r="N240" s="17" t="inlineStr">
        <is>
          <t>Não</t>
        </is>
      </c>
    </row>
    <row r="241">
      <c r="A241" s="17" t="inlineStr">
        <is>
          <t>S-8b24a0</t>
        </is>
      </c>
      <c r="B241" s="17" t="inlineStr">
        <is>
          <t>A-309e54</t>
        </is>
      </c>
      <c r="C241" s="17" t="inlineStr">
        <is>
          <t>Rápida</t>
        </is>
      </c>
      <c r="D241" s="17" t="inlineStr">
        <is>
          <t>Sim</t>
        </is>
      </c>
      <c r="E241" s="18" t="n">
        <v>45655</v>
      </c>
      <c r="F241" s="18" t="n">
        <v>45656</v>
      </c>
      <c r="G241" s="17" t="n">
        <v>1</v>
      </c>
      <c r="H241" s="17" t="inlineStr">
        <is>
          <t>Pro</t>
        </is>
      </c>
      <c r="I241" s="17" t="inlineStr">
        <is>
          <t>monthly</t>
        </is>
      </c>
      <c r="J241" s="17" t="n">
        <v>33</v>
      </c>
      <c r="K241" s="17" t="n">
        <v>9</v>
      </c>
      <c r="L241" s="17" t="inlineStr">
        <is>
          <t>Não</t>
        </is>
      </c>
      <c r="M241" s="17" t="inlineStr">
        <is>
          <t>Sim</t>
        </is>
      </c>
      <c r="N241" s="17" t="inlineStr">
        <is>
          <t>Não</t>
        </is>
      </c>
    </row>
    <row r="242">
      <c r="A242" s="17" t="inlineStr">
        <is>
          <t>S-8055fa</t>
        </is>
      </c>
      <c r="B242" s="17" t="inlineStr">
        <is>
          <t>A-09540c</t>
        </is>
      </c>
      <c r="C242" s="17" t="inlineStr">
        <is>
          <t>Lenta</t>
        </is>
      </c>
      <c r="D242" s="17" t="inlineStr">
        <is>
          <t>Não</t>
        </is>
      </c>
      <c r="E242" s="18" t="n">
        <v>45507</v>
      </c>
      <c r="F242" s="18" t="n">
        <v>45625</v>
      </c>
      <c r="G242" s="17" t="n">
        <v>118</v>
      </c>
      <c r="H242" s="17" t="inlineStr">
        <is>
          <t>Basic</t>
        </is>
      </c>
      <c r="I242" s="17" t="inlineStr">
        <is>
          <t>monthly</t>
        </is>
      </c>
      <c r="J242" s="17" t="n">
        <v>67</v>
      </c>
      <c r="K242" s="17" t="n">
        <v>4</v>
      </c>
      <c r="L242" s="17" t="inlineStr">
        <is>
          <t>Não</t>
        </is>
      </c>
      <c r="M242" s="17" t="inlineStr">
        <is>
          <t>Não</t>
        </is>
      </c>
      <c r="N242" s="17" t="inlineStr">
        <is>
          <t>Não</t>
        </is>
      </c>
    </row>
    <row r="243">
      <c r="A243" s="17" t="inlineStr">
        <is>
          <t>S-54283b</t>
        </is>
      </c>
      <c r="B243" s="17" t="inlineStr">
        <is>
          <t>A-4c56c9</t>
        </is>
      </c>
      <c r="C243" s="17" t="inlineStr">
        <is>
          <t>Lenta</t>
        </is>
      </c>
      <c r="D243" s="17" t="inlineStr">
        <is>
          <t>Não</t>
        </is>
      </c>
      <c r="E243" s="18" t="n">
        <v>45531</v>
      </c>
      <c r="F243" s="18" t="n">
        <v>45599</v>
      </c>
      <c r="G243" s="17" t="n">
        <v>68</v>
      </c>
      <c r="H243" s="17" t="inlineStr">
        <is>
          <t>Enterprise</t>
        </is>
      </c>
      <c r="I243" s="17" t="inlineStr">
        <is>
          <t>monthly</t>
        </is>
      </c>
      <c r="J243" s="17" t="n">
        <v>49</v>
      </c>
      <c r="K243" s="17" t="n">
        <v>6</v>
      </c>
      <c r="L243" s="17" t="inlineStr">
        <is>
          <t>Não</t>
        </is>
      </c>
      <c r="M243" s="17" t="inlineStr">
        <is>
          <t>Não</t>
        </is>
      </c>
      <c r="N243" s="17" t="inlineStr">
        <is>
          <t>Não</t>
        </is>
      </c>
    </row>
    <row r="244">
      <c r="A244" s="17" t="inlineStr">
        <is>
          <t>S-e339fb</t>
        </is>
      </c>
      <c r="B244" s="17" t="inlineStr">
        <is>
          <t>A-c1e51e</t>
        </is>
      </c>
      <c r="C244" s="17" t="inlineStr">
        <is>
          <t>Lenta</t>
        </is>
      </c>
      <c r="D244" s="17" t="inlineStr">
        <is>
          <t>Não</t>
        </is>
      </c>
      <c r="E244" s="18" t="n">
        <v>45596</v>
      </c>
      <c r="F244" s="18" t="n">
        <v>45644</v>
      </c>
      <c r="G244" s="17" t="n">
        <v>48</v>
      </c>
      <c r="H244" s="17" t="inlineStr">
        <is>
          <t>Enterprise</t>
        </is>
      </c>
      <c r="I244" s="17" t="inlineStr">
        <is>
          <t>annual</t>
        </is>
      </c>
      <c r="J244" s="17" t="n">
        <v>14</v>
      </c>
      <c r="K244" s="17" t="n">
        <v>6</v>
      </c>
      <c r="L244" s="17" t="inlineStr">
        <is>
          <t>Não</t>
        </is>
      </c>
      <c r="M244" s="17" t="inlineStr">
        <is>
          <t>Sim</t>
        </is>
      </c>
      <c r="N244" s="17" t="inlineStr">
        <is>
          <t>Não</t>
        </is>
      </c>
    </row>
    <row r="245">
      <c r="A245" s="17" t="inlineStr">
        <is>
          <t>S-d1f7ad</t>
        </is>
      </c>
      <c r="B245" s="17" t="inlineStr">
        <is>
          <t>A-c222ab</t>
        </is>
      </c>
      <c r="C245" s="17" t="inlineStr">
        <is>
          <t>Rápida</t>
        </is>
      </c>
      <c r="D245" s="17" t="inlineStr">
        <is>
          <t>Não</t>
        </is>
      </c>
      <c r="E245" s="18" t="n">
        <v>45596</v>
      </c>
      <c r="F245" s="18" t="n">
        <v>45625</v>
      </c>
      <c r="G245" s="17" t="n">
        <v>29</v>
      </c>
      <c r="H245" s="17" t="inlineStr">
        <is>
          <t>Basic</t>
        </is>
      </c>
      <c r="I245" s="17" t="inlineStr">
        <is>
          <t>annual</t>
        </is>
      </c>
      <c r="J245" s="17" t="n">
        <v>32</v>
      </c>
      <c r="K245" s="17" t="n">
        <v>4</v>
      </c>
      <c r="L245" s="17" t="inlineStr">
        <is>
          <t>Não</t>
        </is>
      </c>
      <c r="M245" s="17" t="inlineStr">
        <is>
          <t>Não</t>
        </is>
      </c>
      <c r="N245" s="17" t="inlineStr">
        <is>
          <t>Não</t>
        </is>
      </c>
    </row>
    <row r="246">
      <c r="A246" s="17" t="inlineStr">
        <is>
          <t>S-de7a48</t>
        </is>
      </c>
      <c r="B246" s="17" t="inlineStr">
        <is>
          <t>A-ccc747</t>
        </is>
      </c>
      <c r="C246" s="17" t="inlineStr">
        <is>
          <t>Lenta</t>
        </is>
      </c>
      <c r="D246" s="17" t="inlineStr">
        <is>
          <t>Não</t>
        </is>
      </c>
      <c r="E246" s="18" t="n">
        <v>45580</v>
      </c>
      <c r="F246" s="18" t="n">
        <v>45656</v>
      </c>
      <c r="G246" s="17" t="n">
        <v>76</v>
      </c>
      <c r="H246" s="17" t="inlineStr">
        <is>
          <t>Pro</t>
        </is>
      </c>
      <c r="I246" s="17" t="inlineStr">
        <is>
          <t>annual</t>
        </is>
      </c>
      <c r="J246" s="17" t="n">
        <v>23</v>
      </c>
      <c r="K246" s="17" t="n">
        <v>5</v>
      </c>
      <c r="L246" s="17" t="inlineStr">
        <is>
          <t>Não</t>
        </is>
      </c>
      <c r="M246" s="17" t="inlineStr">
        <is>
          <t>Não</t>
        </is>
      </c>
      <c r="N246" s="17" t="inlineStr">
        <is>
          <t>Não</t>
        </is>
      </c>
    </row>
    <row r="247">
      <c r="A247" s="17" t="inlineStr">
        <is>
          <t>S-7e09c4</t>
        </is>
      </c>
      <c r="B247" s="17" t="inlineStr">
        <is>
          <t>A-118f1c</t>
        </is>
      </c>
      <c r="C247" s="17" t="inlineStr">
        <is>
          <t>Rápida</t>
        </is>
      </c>
      <c r="D247" s="17" t="inlineStr">
        <is>
          <t>Não</t>
        </is>
      </c>
      <c r="E247" s="18" t="n">
        <v>45647</v>
      </c>
      <c r="F247" s="18" t="n">
        <v>45657</v>
      </c>
      <c r="G247" s="17" t="n">
        <v>10</v>
      </c>
      <c r="H247" s="17" t="inlineStr">
        <is>
          <t>Basic</t>
        </is>
      </c>
      <c r="I247" s="17" t="inlineStr">
        <is>
          <t>annual</t>
        </is>
      </c>
      <c r="J247" s="17" t="n">
        <v>32</v>
      </c>
      <c r="K247" s="17" t="n">
        <v>6</v>
      </c>
      <c r="L247" s="17" t="inlineStr">
        <is>
          <t>Não</t>
        </is>
      </c>
      <c r="M247" s="17" t="inlineStr">
        <is>
          <t>Sim</t>
        </is>
      </c>
      <c r="N247" s="17" t="inlineStr">
        <is>
          <t>Sim</t>
        </is>
      </c>
    </row>
    <row r="248">
      <c r="A248" s="17" t="inlineStr">
        <is>
          <t>S-17c51e</t>
        </is>
      </c>
      <c r="B248" s="17" t="inlineStr">
        <is>
          <t>A-462d45</t>
        </is>
      </c>
      <c r="C248" s="17" t="inlineStr">
        <is>
          <t>Rápida</t>
        </is>
      </c>
      <c r="D248" s="17" t="inlineStr">
        <is>
          <t>Não</t>
        </is>
      </c>
      <c r="E248" s="18" t="n">
        <v>45621</v>
      </c>
      <c r="F248" s="18" t="n">
        <v>45638</v>
      </c>
      <c r="G248" s="17" t="n">
        <v>17</v>
      </c>
      <c r="H248" s="17" t="inlineStr">
        <is>
          <t>Pro</t>
        </is>
      </c>
      <c r="I248" s="17" t="inlineStr">
        <is>
          <t>annual</t>
        </is>
      </c>
      <c r="J248" s="17" t="n">
        <v>61</v>
      </c>
      <c r="K248" s="17" t="n">
        <v>10</v>
      </c>
      <c r="L248" s="17" t="inlineStr">
        <is>
          <t>Não</t>
        </is>
      </c>
      <c r="M248" s="17" t="inlineStr">
        <is>
          <t>Sim</t>
        </is>
      </c>
      <c r="N248" s="17" t="inlineStr">
        <is>
          <t>Não</t>
        </is>
      </c>
    </row>
    <row r="249">
      <c r="A249" s="17" t="inlineStr">
        <is>
          <t>S-0455a5</t>
        </is>
      </c>
      <c r="B249" s="17" t="inlineStr">
        <is>
          <t>A-993085</t>
        </is>
      </c>
      <c r="C249" s="17" t="inlineStr">
        <is>
          <t>Rápida</t>
        </is>
      </c>
      <c r="D249" s="17" t="inlineStr">
        <is>
          <t>Não</t>
        </is>
      </c>
      <c r="E249" s="18" t="n">
        <v>45587</v>
      </c>
      <c r="F249" s="18" t="n">
        <v>45606</v>
      </c>
      <c r="G249" s="17" t="n">
        <v>19</v>
      </c>
      <c r="H249" s="17" t="inlineStr">
        <is>
          <t>Enterprise</t>
        </is>
      </c>
      <c r="I249" s="17" t="inlineStr">
        <is>
          <t>monthly</t>
        </is>
      </c>
      <c r="J249" s="17" t="n">
        <v>42</v>
      </c>
      <c r="K249" s="17" t="n">
        <v>14</v>
      </c>
      <c r="L249" s="17" t="inlineStr">
        <is>
          <t>Não</t>
        </is>
      </c>
      <c r="M249" s="17" t="inlineStr">
        <is>
          <t>Não</t>
        </is>
      </c>
      <c r="N249" s="17" t="inlineStr">
        <is>
          <t>Não</t>
        </is>
      </c>
    </row>
    <row r="250">
      <c r="A250" s="17" t="inlineStr">
        <is>
          <t>S-f94b9b</t>
        </is>
      </c>
      <c r="B250" s="17" t="inlineStr">
        <is>
          <t>A-82861f</t>
        </is>
      </c>
      <c r="C250" s="17" t="inlineStr">
        <is>
          <t>Rápida</t>
        </is>
      </c>
      <c r="D250" s="17" t="inlineStr">
        <is>
          <t>Não</t>
        </is>
      </c>
      <c r="E250" s="18" t="n">
        <v>45581</v>
      </c>
      <c r="F250" s="18" t="n">
        <v>45604</v>
      </c>
      <c r="G250" s="17" t="n">
        <v>23</v>
      </c>
      <c r="H250" s="17" t="inlineStr">
        <is>
          <t>Pro</t>
        </is>
      </c>
      <c r="I250" s="17" t="inlineStr">
        <is>
          <t>annual</t>
        </is>
      </c>
      <c r="J250" s="17" t="n">
        <v>41</v>
      </c>
      <c r="K250" s="17" t="n">
        <v>7</v>
      </c>
      <c r="L250" s="17" t="inlineStr">
        <is>
          <t>Não</t>
        </is>
      </c>
      <c r="M250" s="17" t="inlineStr">
        <is>
          <t>Não</t>
        </is>
      </c>
      <c r="N250" s="17" t="inlineStr">
        <is>
          <t>Não</t>
        </is>
      </c>
    </row>
    <row r="251">
      <c r="A251" s="17" t="inlineStr">
        <is>
          <t>S-008f3c</t>
        </is>
      </c>
      <c r="B251" s="17" t="inlineStr">
        <is>
          <t>A-e98302</t>
        </is>
      </c>
      <c r="C251" s="17" t="inlineStr">
        <is>
          <t>Rápida</t>
        </is>
      </c>
      <c r="D251" s="17" t="inlineStr">
        <is>
          <t>Não</t>
        </is>
      </c>
      <c r="E251" s="18" t="n">
        <v>45649</v>
      </c>
      <c r="F251" s="18" t="n">
        <v>45654</v>
      </c>
      <c r="G251" s="17" t="n">
        <v>5</v>
      </c>
      <c r="H251" s="17" t="inlineStr">
        <is>
          <t>Pro</t>
        </is>
      </c>
      <c r="I251" s="17" t="inlineStr">
        <is>
          <t>annual</t>
        </is>
      </c>
      <c r="J251" s="17" t="n">
        <v>58</v>
      </c>
      <c r="K251" s="17" t="n">
        <v>5</v>
      </c>
      <c r="L251" s="17" t="inlineStr">
        <is>
          <t>Não</t>
        </is>
      </c>
      <c r="M251" s="17" t="inlineStr">
        <is>
          <t>Não</t>
        </is>
      </c>
      <c r="N251" s="17" t="inlineStr">
        <is>
          <t>Não</t>
        </is>
      </c>
    </row>
    <row r="252">
      <c r="A252" s="17" t="inlineStr">
        <is>
          <t>S-62641a</t>
        </is>
      </c>
      <c r="B252" s="17" t="inlineStr">
        <is>
          <t>A-4c56c9</t>
        </is>
      </c>
      <c r="C252" s="17" t="inlineStr">
        <is>
          <t>Rápida</t>
        </is>
      </c>
      <c r="D252" s="17" t="inlineStr">
        <is>
          <t>Não</t>
        </is>
      </c>
      <c r="E252" s="18" t="n">
        <v>45625</v>
      </c>
      <c r="F252" s="18" t="n">
        <v>45629</v>
      </c>
      <c r="G252" s="17" t="n">
        <v>4</v>
      </c>
      <c r="H252" s="17" t="inlineStr">
        <is>
          <t>Enterprise</t>
        </is>
      </c>
      <c r="I252" s="17" t="inlineStr">
        <is>
          <t>monthly</t>
        </is>
      </c>
      <c r="J252" s="17" t="n">
        <v>18</v>
      </c>
      <c r="K252" s="17" t="n">
        <v>7</v>
      </c>
      <c r="L252" s="17" t="inlineStr">
        <is>
          <t>Não</t>
        </is>
      </c>
      <c r="M252" s="17" t="inlineStr">
        <is>
          <t>Não</t>
        </is>
      </c>
      <c r="N252" s="17" t="inlineStr">
        <is>
          <t>Não</t>
        </is>
      </c>
    </row>
    <row r="253">
      <c r="A253" s="17" t="inlineStr">
        <is>
          <t>S-b89456</t>
        </is>
      </c>
      <c r="B253" s="17" t="inlineStr">
        <is>
          <t>A-13466a</t>
        </is>
      </c>
      <c r="C253" s="17" t="inlineStr">
        <is>
          <t>Lenta</t>
        </is>
      </c>
      <c r="D253" s="17" t="inlineStr">
        <is>
          <t>Não</t>
        </is>
      </c>
      <c r="E253" s="18" t="n">
        <v>45536</v>
      </c>
      <c r="F253" s="18" t="n">
        <v>45657</v>
      </c>
      <c r="G253" s="17" t="n">
        <v>121</v>
      </c>
      <c r="H253" s="17" t="inlineStr">
        <is>
          <t>Enterprise</t>
        </is>
      </c>
      <c r="I253" s="17" t="inlineStr">
        <is>
          <t>monthly</t>
        </is>
      </c>
      <c r="J253" s="17" t="n">
        <v>4</v>
      </c>
      <c r="K253" s="17" t="n">
        <v>2</v>
      </c>
      <c r="L253" s="17" t="inlineStr">
        <is>
          <t>Não</t>
        </is>
      </c>
      <c r="M253" s="17" t="inlineStr">
        <is>
          <t>Não</t>
        </is>
      </c>
      <c r="N253" s="17" t="inlineStr">
        <is>
          <t>Não</t>
        </is>
      </c>
    </row>
    <row r="254">
      <c r="A254" s="17" t="inlineStr">
        <is>
          <t>S-0abd10</t>
        </is>
      </c>
      <c r="B254" s="17" t="inlineStr">
        <is>
          <t>A-016043</t>
        </is>
      </c>
      <c r="C254" s="17" t="inlineStr">
        <is>
          <t>Rápida</t>
        </is>
      </c>
      <c r="D254" s="17" t="inlineStr">
        <is>
          <t>Não</t>
        </is>
      </c>
      <c r="E254" s="18" t="n">
        <v>45619</v>
      </c>
      <c r="F254" s="18" t="n">
        <v>45647</v>
      </c>
      <c r="G254" s="17" t="n">
        <v>28</v>
      </c>
      <c r="H254" s="17" t="inlineStr">
        <is>
          <t>Enterprise</t>
        </is>
      </c>
      <c r="I254" s="17" t="inlineStr">
        <is>
          <t>annual</t>
        </is>
      </c>
      <c r="J254" s="17" t="n">
        <v>24</v>
      </c>
      <c r="K254" s="17" t="n">
        <v>10</v>
      </c>
      <c r="L254" s="17" t="inlineStr">
        <is>
          <t>Não</t>
        </is>
      </c>
      <c r="M254" s="17" t="inlineStr">
        <is>
          <t>Não</t>
        </is>
      </c>
      <c r="N254" s="17" t="inlineStr">
        <is>
          <t>Não</t>
        </is>
      </c>
    </row>
    <row r="255">
      <c r="A255" s="17" t="inlineStr">
        <is>
          <t>S-59f0a6</t>
        </is>
      </c>
      <c r="B255" s="17" t="inlineStr">
        <is>
          <t>A-104f1a</t>
        </is>
      </c>
      <c r="C255" s="17" t="inlineStr">
        <is>
          <t>Lenta</t>
        </is>
      </c>
      <c r="D255" s="17" t="inlineStr">
        <is>
          <t>Não</t>
        </is>
      </c>
      <c r="E255" s="18" t="n">
        <v>45537</v>
      </c>
      <c r="F255" s="18" t="n">
        <v>45624</v>
      </c>
      <c r="G255" s="17" t="n">
        <v>87</v>
      </c>
      <c r="H255" s="17" t="inlineStr">
        <is>
          <t>Pro</t>
        </is>
      </c>
      <c r="I255" s="17" t="inlineStr">
        <is>
          <t>monthly</t>
        </is>
      </c>
      <c r="J255" s="17" t="n">
        <v>123</v>
      </c>
      <c r="K255" s="17" t="n">
        <v>4</v>
      </c>
      <c r="L255" s="17" t="inlineStr">
        <is>
          <t>Não</t>
        </is>
      </c>
      <c r="M255" s="17" t="inlineStr">
        <is>
          <t>Não</t>
        </is>
      </c>
      <c r="N255" s="17" t="inlineStr">
        <is>
          <t>Não</t>
        </is>
      </c>
    </row>
    <row r="256">
      <c r="A256" s="17" t="inlineStr">
        <is>
          <t>S-debbee</t>
        </is>
      </c>
      <c r="B256" s="17" t="inlineStr">
        <is>
          <t>A-3a7284</t>
        </is>
      </c>
      <c r="C256" s="17" t="inlineStr">
        <is>
          <t>Rápida</t>
        </is>
      </c>
      <c r="D256" s="17" t="inlineStr">
        <is>
          <t>Não</t>
        </is>
      </c>
      <c r="E256" s="18" t="n">
        <v>45624</v>
      </c>
      <c r="F256" s="18" t="n">
        <v>45637</v>
      </c>
      <c r="G256" s="17" t="n">
        <v>13</v>
      </c>
      <c r="H256" s="17" t="inlineStr">
        <is>
          <t>Basic</t>
        </is>
      </c>
      <c r="I256" s="17" t="inlineStr">
        <is>
          <t>annual</t>
        </is>
      </c>
      <c r="J256" s="17" t="n">
        <v>73</v>
      </c>
      <c r="K256" s="17" t="n">
        <v>3</v>
      </c>
      <c r="L256" s="17" t="inlineStr">
        <is>
          <t>Não</t>
        </is>
      </c>
      <c r="M256" s="17" t="inlineStr">
        <is>
          <t>Sim</t>
        </is>
      </c>
      <c r="N256" s="17" t="inlineStr">
        <is>
          <t>Não</t>
        </is>
      </c>
    </row>
    <row r="257">
      <c r="A257" s="17" t="inlineStr">
        <is>
          <t>S-c844bd</t>
        </is>
      </c>
      <c r="B257" s="17" t="inlineStr">
        <is>
          <t>A-6a4e2d</t>
        </is>
      </c>
      <c r="C257" s="17" t="inlineStr">
        <is>
          <t>Lenta</t>
        </is>
      </c>
      <c r="D257" s="17" t="inlineStr">
        <is>
          <t>Não</t>
        </is>
      </c>
      <c r="E257" s="18" t="n">
        <v>45314</v>
      </c>
      <c r="F257" s="18" t="n">
        <v>45599</v>
      </c>
      <c r="G257" s="17" t="n">
        <v>285</v>
      </c>
      <c r="H257" s="17" t="inlineStr">
        <is>
          <t>Basic</t>
        </is>
      </c>
      <c r="I257" s="17" t="inlineStr">
        <is>
          <t>annual</t>
        </is>
      </c>
      <c r="J257" s="17" t="n">
        <v>9</v>
      </c>
      <c r="K257" s="17" t="n">
        <v>9</v>
      </c>
      <c r="L257" s="17" t="inlineStr">
        <is>
          <t>Não</t>
        </is>
      </c>
      <c r="M257" s="17" t="inlineStr">
        <is>
          <t>Não</t>
        </is>
      </c>
      <c r="N257" s="17" t="inlineStr">
        <is>
          <t>Não</t>
        </is>
      </c>
    </row>
    <row r="258">
      <c r="A258" s="17" t="inlineStr">
        <is>
          <t>S-e6571c</t>
        </is>
      </c>
      <c r="B258" s="17" t="inlineStr">
        <is>
          <t>A-0be015</t>
        </is>
      </c>
      <c r="C258" s="17" t="inlineStr">
        <is>
          <t>Rápida</t>
        </is>
      </c>
      <c r="D258" s="17" t="inlineStr">
        <is>
          <t>Não</t>
        </is>
      </c>
      <c r="E258" s="18" t="n">
        <v>45599</v>
      </c>
      <c r="F258" s="18" t="n">
        <v>45608</v>
      </c>
      <c r="G258" s="17" t="n">
        <v>9</v>
      </c>
      <c r="H258" s="17" t="inlineStr">
        <is>
          <t>Basic</t>
        </is>
      </c>
      <c r="I258" s="17" t="inlineStr">
        <is>
          <t>annual</t>
        </is>
      </c>
      <c r="J258" s="17" t="n">
        <v>19</v>
      </c>
      <c r="K258" s="17" t="n">
        <v>1</v>
      </c>
      <c r="L258" s="17" t="inlineStr">
        <is>
          <t>Não</t>
        </is>
      </c>
      <c r="M258" s="17" t="inlineStr">
        <is>
          <t>Sim</t>
        </is>
      </c>
      <c r="N258" s="17" t="inlineStr">
        <is>
          <t>Não</t>
        </is>
      </c>
    </row>
    <row r="259">
      <c r="A259" s="17" t="inlineStr">
        <is>
          <t>S-41ea32</t>
        </is>
      </c>
      <c r="B259" s="17" t="inlineStr">
        <is>
          <t>A-054577</t>
        </is>
      </c>
      <c r="C259" s="17" t="inlineStr">
        <is>
          <t>Lenta</t>
        </is>
      </c>
      <c r="D259" s="17" t="inlineStr">
        <is>
          <t>Não</t>
        </is>
      </c>
      <c r="E259" s="18" t="n">
        <v>45587</v>
      </c>
      <c r="F259" s="18" t="n">
        <v>45631</v>
      </c>
      <c r="G259" s="17" t="n">
        <v>44</v>
      </c>
      <c r="H259" s="17" t="inlineStr">
        <is>
          <t>Basic</t>
        </is>
      </c>
      <c r="I259" s="17" t="inlineStr">
        <is>
          <t>monthly</t>
        </is>
      </c>
      <c r="J259" s="17" t="n">
        <v>24</v>
      </c>
      <c r="K259" s="17" t="n">
        <v>13</v>
      </c>
      <c r="L259" s="17" t="inlineStr">
        <is>
          <t>Não</t>
        </is>
      </c>
      <c r="M259" s="17" t="inlineStr">
        <is>
          <t>Sim</t>
        </is>
      </c>
      <c r="N259" s="17" t="inlineStr">
        <is>
          <t>Não</t>
        </is>
      </c>
    </row>
    <row r="260">
      <c r="A260" s="17" t="inlineStr">
        <is>
          <t>S-76eded</t>
        </is>
      </c>
      <c r="B260" s="17" t="inlineStr">
        <is>
          <t>A-ae052e</t>
        </is>
      </c>
      <c r="C260" s="17" t="inlineStr">
        <is>
          <t>Lenta</t>
        </is>
      </c>
      <c r="D260" s="17" t="inlineStr">
        <is>
          <t>Não</t>
        </is>
      </c>
      <c r="E260" s="18" t="n">
        <v>45589</v>
      </c>
      <c r="F260" s="18" t="n">
        <v>45637</v>
      </c>
      <c r="G260" s="17" t="n">
        <v>48</v>
      </c>
      <c r="H260" s="17" t="inlineStr">
        <is>
          <t>Pro</t>
        </is>
      </c>
      <c r="I260" s="17" t="inlineStr">
        <is>
          <t>monthly</t>
        </is>
      </c>
      <c r="J260" s="17" t="n">
        <v>39</v>
      </c>
      <c r="K260" s="17" t="n">
        <v>2</v>
      </c>
      <c r="L260" s="17" t="inlineStr">
        <is>
          <t>Não</t>
        </is>
      </c>
      <c r="M260" s="17" t="inlineStr">
        <is>
          <t>Sim</t>
        </is>
      </c>
      <c r="N260" s="17" t="inlineStr">
        <is>
          <t>Sim</t>
        </is>
      </c>
    </row>
    <row r="261">
      <c r="A261" s="17" t="inlineStr">
        <is>
          <t>S-59d90a</t>
        </is>
      </c>
      <c r="B261" s="17" t="inlineStr">
        <is>
          <t>A-aa9511</t>
        </is>
      </c>
      <c r="C261" s="17" t="inlineStr">
        <is>
          <t>Lenta</t>
        </is>
      </c>
      <c r="D261" s="17" t="inlineStr">
        <is>
          <t>Não</t>
        </is>
      </c>
      <c r="E261" s="18" t="n">
        <v>45532</v>
      </c>
      <c r="F261" s="18" t="n">
        <v>45609</v>
      </c>
      <c r="G261" s="17" t="n">
        <v>77</v>
      </c>
      <c r="H261" s="17" t="inlineStr">
        <is>
          <t>Pro</t>
        </is>
      </c>
      <c r="I261" s="17" t="inlineStr">
        <is>
          <t>annual</t>
        </is>
      </c>
      <c r="J261" s="17" t="n">
        <v>29</v>
      </c>
      <c r="K261" s="17" t="n">
        <v>12</v>
      </c>
      <c r="L261" s="17" t="inlineStr">
        <is>
          <t>Não</t>
        </is>
      </c>
      <c r="M261" s="17" t="inlineStr">
        <is>
          <t>Sim</t>
        </is>
      </c>
      <c r="N261" s="17" t="inlineStr">
        <is>
          <t>Não</t>
        </is>
      </c>
    </row>
    <row r="262">
      <c r="A262" s="17" t="inlineStr">
        <is>
          <t>S-075ffc</t>
        </is>
      </c>
      <c r="B262" s="17" t="inlineStr">
        <is>
          <t>A-eb7c38</t>
        </is>
      </c>
      <c r="C262" s="17" t="inlineStr">
        <is>
          <t>Lenta</t>
        </is>
      </c>
      <c r="D262" s="17" t="inlineStr">
        <is>
          <t>Não</t>
        </is>
      </c>
      <c r="E262" s="18" t="n">
        <v>45537</v>
      </c>
      <c r="F262" s="18" t="n">
        <v>45641</v>
      </c>
      <c r="G262" s="17" t="n">
        <v>104</v>
      </c>
      <c r="H262" s="17" t="inlineStr">
        <is>
          <t>Enterprise</t>
        </is>
      </c>
      <c r="I262" s="17" t="inlineStr">
        <is>
          <t>annual</t>
        </is>
      </c>
      <c r="J262" s="17" t="n">
        <v>15</v>
      </c>
      <c r="K262" s="17" t="n">
        <v>11</v>
      </c>
      <c r="L262" s="17" t="inlineStr">
        <is>
          <t>Não</t>
        </is>
      </c>
      <c r="M262" s="17" t="inlineStr">
        <is>
          <t>Não</t>
        </is>
      </c>
      <c r="N262" s="17" t="inlineStr">
        <is>
          <t>Não</t>
        </is>
      </c>
    </row>
    <row r="263">
      <c r="A263" s="17" t="inlineStr">
        <is>
          <t>S-9d727d</t>
        </is>
      </c>
      <c r="B263" s="17" t="inlineStr">
        <is>
          <t>A-ac85cd</t>
        </is>
      </c>
      <c r="C263" s="17" t="inlineStr">
        <is>
          <t>Rápida</t>
        </is>
      </c>
      <c r="D263" s="17" t="inlineStr">
        <is>
          <t>Não</t>
        </is>
      </c>
      <c r="E263" s="18" t="n">
        <v>45635</v>
      </c>
      <c r="F263" s="18" t="n">
        <v>45644</v>
      </c>
      <c r="G263" s="17" t="n">
        <v>9</v>
      </c>
      <c r="H263" s="17" t="inlineStr">
        <is>
          <t>Basic</t>
        </is>
      </c>
      <c r="I263" s="17" t="inlineStr">
        <is>
          <t>monthly</t>
        </is>
      </c>
      <c r="J263" s="17" t="n">
        <v>53</v>
      </c>
      <c r="K263" s="17" t="n">
        <v>6</v>
      </c>
      <c r="L263" s="17" t="inlineStr">
        <is>
          <t>Não</t>
        </is>
      </c>
      <c r="M263" s="17" t="inlineStr">
        <is>
          <t>Sim</t>
        </is>
      </c>
      <c r="N263" s="17" t="inlineStr">
        <is>
          <t>Sim</t>
        </is>
      </c>
    </row>
    <row r="264">
      <c r="A264" s="17" t="inlineStr">
        <is>
          <t>S-8442d1</t>
        </is>
      </c>
      <c r="B264" s="17" t="inlineStr">
        <is>
          <t>A-82d8a6</t>
        </is>
      </c>
      <c r="C264" s="17" t="inlineStr">
        <is>
          <t>Rápida</t>
        </is>
      </c>
      <c r="D264" s="17" t="inlineStr">
        <is>
          <t>Não</t>
        </is>
      </c>
      <c r="E264" s="18" t="n">
        <v>45648</v>
      </c>
      <c r="F264" s="18" t="n">
        <v>45650</v>
      </c>
      <c r="G264" s="17" t="n">
        <v>2</v>
      </c>
      <c r="H264" s="17" t="inlineStr">
        <is>
          <t>Enterprise</t>
        </is>
      </c>
      <c r="I264" s="17" t="inlineStr">
        <is>
          <t>monthly</t>
        </is>
      </c>
      <c r="J264" s="17" t="n">
        <v>21</v>
      </c>
      <c r="K264" s="17" t="n">
        <v>10</v>
      </c>
      <c r="L264" s="17" t="inlineStr">
        <is>
          <t>Não</t>
        </is>
      </c>
      <c r="M264" s="17" t="inlineStr">
        <is>
          <t>Sim</t>
        </is>
      </c>
      <c r="N264" s="17" t="inlineStr">
        <is>
          <t>Não</t>
        </is>
      </c>
    </row>
    <row r="265">
      <c r="A265" s="17" t="inlineStr">
        <is>
          <t>S-c7621b</t>
        </is>
      </c>
      <c r="B265" s="17" t="inlineStr">
        <is>
          <t>A-ced9aa</t>
        </is>
      </c>
      <c r="C265" s="17" t="inlineStr">
        <is>
          <t>Rápida</t>
        </is>
      </c>
      <c r="D265" s="17" t="inlineStr">
        <is>
          <t>Não</t>
        </is>
      </c>
      <c r="E265" s="18" t="n">
        <v>45619</v>
      </c>
      <c r="F265" s="18" t="n">
        <v>45621</v>
      </c>
      <c r="G265" s="17" t="n">
        <v>2</v>
      </c>
      <c r="H265" s="17" t="inlineStr">
        <is>
          <t>Basic</t>
        </is>
      </c>
      <c r="I265" s="17" t="inlineStr">
        <is>
          <t>annual</t>
        </is>
      </c>
      <c r="J265" s="17" t="n">
        <v>19</v>
      </c>
      <c r="K265" s="17" t="n">
        <v>4</v>
      </c>
      <c r="L265" s="17" t="inlineStr">
        <is>
          <t>Não</t>
        </is>
      </c>
      <c r="M265" s="17" t="inlineStr">
        <is>
          <t>Sim</t>
        </is>
      </c>
      <c r="N265" s="17" t="inlineStr">
        <is>
          <t>Não</t>
        </is>
      </c>
    </row>
    <row r="266">
      <c r="A266" s="17" t="inlineStr">
        <is>
          <t>S-e7f571</t>
        </is>
      </c>
      <c r="B266" s="17" t="inlineStr">
        <is>
          <t>A-9affe6</t>
        </is>
      </c>
      <c r="C266" s="17" t="inlineStr">
        <is>
          <t>Lenta</t>
        </is>
      </c>
      <c r="D266" s="17" t="inlineStr">
        <is>
          <t>Não</t>
        </is>
      </c>
      <c r="E266" s="18" t="n">
        <v>45083</v>
      </c>
      <c r="F266" s="18" t="n">
        <v>45637</v>
      </c>
      <c r="G266" s="17" t="n">
        <v>554</v>
      </c>
      <c r="H266" s="17" t="inlineStr">
        <is>
          <t>Basic</t>
        </is>
      </c>
      <c r="I266" s="17" t="inlineStr">
        <is>
          <t>monthly</t>
        </is>
      </c>
      <c r="J266" s="17" t="n">
        <v>7</v>
      </c>
      <c r="K266" s="17" t="n">
        <v>9</v>
      </c>
      <c r="L266" s="17" t="inlineStr">
        <is>
          <t>Não</t>
        </is>
      </c>
      <c r="M266" s="17" t="inlineStr">
        <is>
          <t>Não</t>
        </is>
      </c>
      <c r="N266" s="17" t="inlineStr">
        <is>
          <t>Não</t>
        </is>
      </c>
    </row>
    <row r="267">
      <c r="A267" s="17" t="inlineStr">
        <is>
          <t>S-4fe9b6</t>
        </is>
      </c>
      <c r="B267" s="17" t="inlineStr">
        <is>
          <t>A-8bde0c</t>
        </is>
      </c>
      <c r="C267" s="17" t="inlineStr">
        <is>
          <t>Rápida</t>
        </is>
      </c>
      <c r="D267" s="17" t="inlineStr">
        <is>
          <t>Sim</t>
        </is>
      </c>
      <c r="E267" s="18" t="n">
        <v>45645</v>
      </c>
      <c r="F267" s="18" t="n">
        <v>45656</v>
      </c>
      <c r="G267" s="17" t="n">
        <v>11</v>
      </c>
      <c r="H267" s="17" t="inlineStr">
        <is>
          <t>Pro</t>
        </is>
      </c>
      <c r="I267" s="17" t="inlineStr">
        <is>
          <t>annual</t>
        </is>
      </c>
      <c r="J267" s="17" t="n">
        <v>25</v>
      </c>
      <c r="K267" s="17" t="n">
        <v>16</v>
      </c>
      <c r="L267" s="17" t="inlineStr">
        <is>
          <t>Não</t>
        </is>
      </c>
      <c r="M267" s="17" t="inlineStr">
        <is>
          <t>Sim</t>
        </is>
      </c>
      <c r="N267" s="17" t="inlineStr">
        <is>
          <t>Não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2026-10-17T16:53:28Z</dcterms:created>
  <dcterms:modified xmlns:dcterms="http://purl.org/dc/terms/" xmlns:xsi="http://www.w3.org/2001/XMLSchema-instance" xsi:type="dcterms:W3CDTF">2026-10-17T16:53:28Z</dcterms:modified>
</cp:coreProperties>
</file>